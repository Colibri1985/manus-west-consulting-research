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uller\Downloads\"/>
    </mc:Choice>
  </mc:AlternateContent>
  <bookViews>
    <workbookView xWindow="0" yWindow="0" windowWidth="21570" windowHeight="10125"/>
  </bookViews>
  <sheets>
    <sheet name="Данные бюджета" sheetId="2" r:id="rId1"/>
    <sheet name="Лист1" sheetId="1" r:id="rId2"/>
  </sheets>
  <definedNames>
    <definedName name="Период_1">'Данные бюджета'!$C$4</definedName>
    <definedName name="Период_10">'Данные бюджета'!$L$4</definedName>
    <definedName name="Период_11">'Данные бюджета'!$M$4</definedName>
    <definedName name="Период_12">'Данные бюджета'!$N$4</definedName>
    <definedName name="Период_13">'Данные бюджета'!$O$4</definedName>
    <definedName name="Период_2">'Данные бюджета'!$D$4</definedName>
    <definedName name="Период_3">'Данные бюджета'!$E$4</definedName>
    <definedName name="Период_4">'Данные бюджета'!$F$4</definedName>
    <definedName name="Период_5">'Данные бюджета'!$G$4</definedName>
    <definedName name="Период_6">'Данные бюджета'!$H$4</definedName>
    <definedName name="Период_7">'Данные бюджета'!$I$4</definedName>
    <definedName name="Период_8">'Данные бюджета'!$J$4</definedName>
    <definedName name="Период_9">'Данные бюджета'!$K$4</definedName>
    <definedName name="СП_20270101_018a9487c7b411f083a1005056b5170a">'Данные бюджета'!$C$40</definedName>
    <definedName name="СП_20270101_036681dbc84811f083a1005056b5170a">'Данные бюджета'!$C$122</definedName>
    <definedName name="СП_20270101_03e74c0fc7d911f083a1005056b5170a">'Данные бюджета'!$C$102</definedName>
    <definedName name="СП_20270101_05104b79c7a811f083a1005056b5170a">'Данные бюджета'!$C$21</definedName>
    <definedName name="СП_20270101_0bb19101c85911f083a1005056b5170a">'Данные бюджета'!$C$129</definedName>
    <definedName name="СП_20270101_0db71d62c84611f083a1005056b5170a">'Данные бюджета'!$C$114</definedName>
    <definedName name="СП_20270101_1421d8301d4811f183c7005056b5170a">'Данные бюджета'!$C$23</definedName>
    <definedName name="СП_20270101_163680a8c7d611f083a1005056b5170a">'Данные бюджета'!$C$73</definedName>
    <definedName name="СП_20270101_16fb1a53c7a811f083a1005056b5170a">'Данные бюджета'!$C$22</definedName>
    <definedName name="СП_20270101_184a45cfc7d711f083a1005056b5170a">'Данные бюджета'!$C$86</definedName>
    <definedName name="СП_20270101_196bb604c7b411f083a1005056b5170a">'Данные бюджета'!$C$41</definedName>
    <definedName name="СП_20270101_1a614068928811ee8376005056a1be4c">'Данные бюджета'!$C$14</definedName>
    <definedName name="СП_20270101_1a684706c84611f083a1005056b5170a">'Данные бюджета'!$C$115</definedName>
    <definedName name="СП_20270101_1daed84fc7b511f083a1005056b5170a">'Данные бюджета'!$C$45</definedName>
    <definedName name="СП_20270101_22a01918c7aa11f083a1005056b5170a">'Данные бюджета'!$C$32</definedName>
    <definedName name="СП_20270101_25fb3b91c7d611f083a1005056b5170a">'Данные бюджета'!$C$74</definedName>
    <definedName name="СП_20270101_271acd8d928811ee8376005056a1be4c">'Данные бюджета'!$C$10</definedName>
    <definedName name="СП_20270101_28c78a1ec7d711f083a1005056b5170a">'Данные бюджета'!$C$87</definedName>
    <definedName name="СП_20270101_2f74b944c7d811f083a1005056b5170a">'Данные бюджета'!$C$94</definedName>
    <definedName name="СП_20270101_31632d0cc7d611f083a1005056b5170a">'Данные бюджета'!$C$75</definedName>
    <definedName name="СП_20270101_33d4cd4f213211f183c7005056b5170a">'Данные бюджета'!$C$138</definedName>
    <definedName name="СП_20270101_34aab0c2990f11ef8384005056b5170a">'Данные бюджета'!$C$57</definedName>
    <definedName name="СП_20270101_355043d4c7d711f083a1005056b5170a">'Данные бюджета'!$C$88</definedName>
    <definedName name="СП_20270101_389f4057c7cb11f083a1005056b5170a">'Данные бюджета'!$C$62</definedName>
    <definedName name="СП_20270101_3a95d75e928a11ee8376005056a1be4c">'Данные бюджета'!$C$16</definedName>
    <definedName name="СП_20270101_3bd8087fc7d611f083a1005056b5170a">'Данные бюджета'!$C$76</definedName>
    <definedName name="СП_20270101_3c712981dfb011e982ef005056a1be4c">'Данные бюджета'!$C$108</definedName>
    <definedName name="СП_20270101_3f2ff9d6a5b011ef8384005056b5170a">'Данные бюджета'!$C$93</definedName>
    <definedName name="СП_20270101_445c2761c7b511f083a1005056b5170a">'Данные бюджета'!$C$46</definedName>
    <definedName name="СП_20270101_4613411b213211f183c7005056b5170a">'Данные бюджета'!$C$140</definedName>
    <definedName name="СП_20270101_46829e96c7d711f083a1005056b5170a">'Данные бюджета'!$C$89</definedName>
    <definedName name="СП_20270101_477830aa94da11ee8376005056a1be4c">'Данные бюджета'!$C$55</definedName>
    <definedName name="СП_20270101_483ec6637b9911f18638005056b5e863">'Данные бюджета'!$C$139</definedName>
    <definedName name="СП_20270101_49fa47b0c7d611f083a1005056b5170a">'Данные бюджета'!$C$78</definedName>
    <definedName name="СП_20270101_55eb4f8fc7d611f083a1005056b5170a">'Данные бюджета'!$C$79</definedName>
    <definedName name="СП_20270101_584645171d5511f183c7005056b5170a">'Данные бюджета'!$C$24</definedName>
    <definedName name="СП_20270101_5b33182ac7b611f083a1005056b5170a">'Данные бюджета'!$C$49</definedName>
    <definedName name="СП_20270101_5e534b9ac7aa11f083a1005056b5170a">'Данные бюджета'!$C$33</definedName>
    <definedName name="СП_20270101_6244c5e8c84711f083a1005056b5170a">'Данные бюджета'!$C$118</definedName>
    <definedName name="СП_20270101_6277513ac7b711f083a1005056b5170a">'Данные бюджета'!$C$56</definedName>
    <definedName name="СП_20270101_63f6fb3ae48911f083a6005056b5170a">'Данные бюджета'!$C$36</definedName>
    <definedName name="СП_20270101_6dcdcaa9c7d611f083a1005056b5170a">'Данные бюджета'!$C$80</definedName>
    <definedName name="СП_20270101_6ec5bd18c7aa11f083a1005056b5170a">'Данные бюджета'!$C$34</definedName>
    <definedName name="СП_20270101_74e570081d4811f183c7005056b5170a">'Данные бюджета'!$C$29</definedName>
    <definedName name="СП_20270101_77e5b212695b11f18638005056b5e863">'Данные бюджета'!$C$142</definedName>
    <definedName name="СП_20270101_7c5e7d4fc7aa11f083a1005056b5170a">'Данные бюджета'!$C$35</definedName>
    <definedName name="СП_20270101_806711dd1d5511f183c7005056b5170a">'Данные бюджета'!$C$25</definedName>
    <definedName name="СП_20270101_85aa1e2d1d4f11f183c7005056b5170a">'Данные бюджета'!$C$113</definedName>
    <definedName name="СП_20270101_8e478e15c7aa11f083a1005056b5170a">'Данные бюджета'!$C$37</definedName>
    <definedName name="СП_20270101_9205e61ac7a011f083a1005056b5170a">'Данные бюджета'!$C$12</definedName>
    <definedName name="СП_20270101_93e92e58c94711f083a3005056b5170a">'Данные бюджета'!$C$111</definedName>
    <definedName name="СП_20270101_953ba8c5695b11f18638005056b5e863">'Данные бюджета'!$C$143</definedName>
    <definedName name="СП_20270101_9de962cac84711f083a1005056b5170a">'Данные бюджета'!$C$119</definedName>
    <definedName name="СП_20270101_9e642f621d4f11f183c7005056b5170a">'Данные бюджета'!$C$116</definedName>
    <definedName name="СП_20270101_a477ec4f545211f183c8005056b5170a">'Данные бюджета'!$C$27</definedName>
    <definedName name="СП_20270101_aa40973a1d4a11f183c7005056b5170a">'Данные бюджета'!$C$95</definedName>
    <definedName name="СП_20270101_ab1ef3c9c7cc11f083a1005056b5170a">'Данные бюджета'!$C$64</definedName>
    <definedName name="СП_20270101_ab6bfd2cc7d811f083a1005056b5170a">'Данные бюджета'!$C$97</definedName>
    <definedName name="СП_20270101_b1def38f1d5511f183c7005056b5170a">'Данные бюджета'!$C$26</definedName>
    <definedName name="СП_20270101_b3b0d47f1d5011f183c7005056b5170a">'Данные бюджета'!$C$127</definedName>
    <definedName name="СП_20270101_b414fc5ac85811f083a1005056b5170a">'Данные бюджета'!$C$124</definedName>
    <definedName name="СП_20270101_b438366e4cd911e680db005056a1088b">'Данные бюджета'!$C$11</definedName>
    <definedName name="СП_20270101_b4431256c7a611f083a1005056b5170a">'Данные бюджета'!$C$18</definedName>
    <definedName name="СП_20270101_bc7a7d01c7d811f083a1005056b5170a">'Данные бюджета'!$C$98</definedName>
    <definedName name="СП_20270101_be8eb25fc7cc11f083a1005056b5170a">'Данные бюджета'!$C$65</definedName>
    <definedName name="СП_20270101_bf6525441d5111f183c7005056b5170a">'Данные бюджета'!$C$131</definedName>
    <definedName name="СП_20270101_c0422569c7d611f083a1005056b5170a">'Данные бюджета'!$C$82</definedName>
    <definedName name="СП_20270101_c4d393ccc85911f083a1005056b5170a">'Данные бюджета'!$C$132</definedName>
    <definedName name="СП_20270101_c64e660926bd11f183c7005056b5170a">'Данные бюджета'!$C$77</definedName>
    <definedName name="СП_20270101_c7add6cc6a4811e4805ad4ae526f013e">'Данные бюджета'!$C$54</definedName>
    <definedName name="СП_20270101_c7add6cd6a4811e4805ad4ae526f013e">'Данные бюджета'!$C$107</definedName>
    <definedName name="СП_20270101_c7add6d06a4811e4805ad4ae526f013e">'Данные бюджета'!$C$43</definedName>
    <definedName name="СП_20270101_c7add6d26a4811e4805ad4ae526f013e">'Данные бюджета'!$C$48</definedName>
    <definedName name="СП_20270101_c7add6d36a4811e4805ad4ae526f013e">'Данные бюджета'!$C$47</definedName>
    <definedName name="СП_20270101_c7add6d46a4811e4805ad4ae526f013e">'Данные бюджета'!$C$42</definedName>
    <definedName name="СП_20270101_c7add6d76a4811e4805ad4ae526f013e">'Данные бюджета'!$C$39</definedName>
    <definedName name="СП_20270101_c7add6ea6a4811e4805ad4ae526f013e">'Данные бюджета'!$C$7</definedName>
    <definedName name="СП_20270101_c7add6ed6a4811e4805ad4ae526f013e">'Данные бюджета'!$C$9</definedName>
    <definedName name="СП_20270101_c7add6f66a4811e4805ad4ae526f013e">'Данные бюджета'!$C$15</definedName>
    <definedName name="СП_20270101_c7add6f76a4811e4805ad4ae526f013e">'Данные бюджета'!$C$13</definedName>
    <definedName name="СП_20270101_c7add6ff6a4811e4805ad4ae526f013e">'Данные бюджета'!$C$104</definedName>
    <definedName name="СП_20270101_c7add7016a4811e4805ad4ae526f013e">'Данные бюджета'!$C$106</definedName>
    <definedName name="СП_20270101_c7add7026a4811e4805ad4ae526f013e">'Данные бюджета'!$C$105</definedName>
    <definedName name="СП_20270101_c7add7046a4811e4805ad4ae526f013e">'Данные бюджета'!$C$52</definedName>
    <definedName name="СП_20270101_c7add7056a4811e4805ad4ae526f013e">'Данные бюджета'!$C$50</definedName>
    <definedName name="СП_20270101_c7add7066a4811e4805ad4ae526f013e">'Данные бюджета'!$C$53</definedName>
    <definedName name="СП_20270101_c7add7076a4811e4805ad4ae526f013e">'Данные бюджета'!$C$61</definedName>
    <definedName name="СП_20270101_c7add7266a4811e4805ad4ae526f013e">'Данные бюджета'!$C$51</definedName>
    <definedName name="СП_20270101_cc91985fc7d811f083a1005056b5170a">'Данные бюджета'!$C$99</definedName>
    <definedName name="СП_20270101_ccbf0ec5c7cc11f083a1005056b5170a">'Данные бюджета'!$C$66</definedName>
    <definedName name="СП_20270101_ce12a12494db11ee8376005056a1be4c">'Данные бюджета'!$C$60</definedName>
    <definedName name="СП_20270101_d0ff26e8c84511f083a1005056b5170a">'Данные бюджета'!$C$110</definedName>
    <definedName name="СП_20270101_d1196183c7d611f083a1005056b5170a">'Данные бюджета'!$C$83</definedName>
    <definedName name="СП_20270101_d450ad9cc84311f083a1005056b5170a">'Данные бюджета'!$C$134</definedName>
    <definedName name="СП_20270101_d56e8e951d4911f183c7005056b5170a">'Данные бюджета'!$C$70</definedName>
    <definedName name="СП_20270101_d9a415b3c7d611f083a1005056b5170a">'Данные бюджета'!$C$84</definedName>
    <definedName name="СП_20270101_dc23c215c7d511f083a1005056b5170a">'Данные бюджета'!$C$72</definedName>
    <definedName name="СП_20270101_de2933d4c85911f083a1005056b5170a">'Данные бюджета'!$C$133</definedName>
    <definedName name="СП_20270101_e0d93d37c7cc11f083a1005056b5170a">'Данные бюджета'!$C$67</definedName>
    <definedName name="СП_20270101_e21f8f63c7d711f083a1005056b5170a">'Данные бюджета'!$C$91</definedName>
    <definedName name="СП_20270101_e47771ec94dc11ee8376005056a1be4c">'Данные бюджета'!$C$20</definedName>
    <definedName name="СП_20270101_e5e5c84ec7d811f083a1005056b5170a">'Данные бюджета'!$C$100</definedName>
    <definedName name="СП_20270101_e7dd9c1c94db11ee8376005056a1be4c">'Данные бюджета'!$C$59</definedName>
    <definedName name="СП_20270101_eaf11e23c85911f083a1005056b5170a">'Данные бюджета'!$C$135</definedName>
    <definedName name="СП_20270101_ec74db8b1d5011f183c7005056b5170a">'Данные бюджета'!$C$125</definedName>
    <definedName name="СП_20270101_eda9216ec7cc11f083a1005056b5170a">'Данные бюджета'!$C$68</definedName>
    <definedName name="СП_20270101_f15872d1c7d811f083a1005056b5170a">'Данные бюджета'!$C$101</definedName>
    <definedName name="СП_20270101_f3278a99c7a711f083a1005056b5170a">'Данные бюджета'!$C$19</definedName>
    <definedName name="СП_20270101_f38ae66bc7d711f083a1005056b5170a">'Данные бюджета'!$C$92</definedName>
    <definedName name="СП_20270101_f3d09913c85811f083a1005056b5170a">'Данные бюджета'!$C$126</definedName>
    <definedName name="СП_20270101_f3f3b17d1d4911f183c7005056b5170a">'Данные бюджета'!$C$136</definedName>
    <definedName name="СП_20270101_f6bf7d1ec7b411f083a1005056b5170a">'Данные бюджета'!$C$44</definedName>
    <definedName name="СП_20270101_f8b81fd3c7cd11f1863a005056b5e863">'Данные бюджета'!$C$5</definedName>
    <definedName name="СП_20270101_f8b81fd4c7cd11f1863a005056b5e863">'Данные бюджета'!$C$6</definedName>
    <definedName name="СП_20270101_f8b81fd7c7cd11f1863a005056b5e863">'Данные бюджета'!$C$8</definedName>
    <definedName name="СП_20270101_f8b81fdfc7cd11f1863a005056b5e863">'Данные бюджета'!$C$17</definedName>
    <definedName name="СП_20270101_f8b81ffcc7cd11f1863a005056b5e863">'Данные бюджета'!$C$30</definedName>
    <definedName name="СП_20270101_f8b81ffdc7cd11f1863a005056b5e863">'Данные бюджета'!$C$103</definedName>
    <definedName name="СП_20270101_f8b82002c7cd11f1863a005056b5e863">'Данные бюджета'!$C$58</definedName>
    <definedName name="СП_20270101_f8b82007c7cd11f1863a005056b5e863">'Данные бюджета'!$C$38</definedName>
    <definedName name="СП_20270101_f92069c8c84711f083a1005056b5170a">'Данные бюджета'!$C$121</definedName>
    <definedName name="СП_20270101_f9883edd0bfd11f183c6005056b5170a">'Данные бюджета'!$C$28</definedName>
    <definedName name="СП_20270101_fc80b55ac7cc11f083a1005056b5170a">'Данные бюджета'!$C$69</definedName>
    <definedName name="СП_20270101_fdbd26b794dc11ee8376005056a1be4c">'Данные бюджета'!$C$112</definedName>
    <definedName name="СП_20270101_feb6a2a0c7cd11f1863a005056b5e863">'Данные бюджета'!$C$31</definedName>
    <definedName name="СП_20270101_feb6a2a7c7cd11f1863a005056b5e863">'Данные бюджета'!$C$63</definedName>
    <definedName name="СП_20270101_feb6a2afc7cd11f1863a005056b5e863">'Данные бюджета'!$C$71</definedName>
    <definedName name="СП_20270101_feb6a2e0c7cd11f1863a005056b5e863">'Данные бюджета'!$C$81</definedName>
    <definedName name="СП_20270101_feb6a30bc7cd11f1863a005056b5e863">'Данные бюджета'!$C$85</definedName>
    <definedName name="СП_20270101_feb6a310c7cd11f1863a005056b5e863">'Данные бюджета'!$C$90</definedName>
    <definedName name="СП_20270101_feb6a316c7cd11f1863a005056b5e863">'Данные бюджета'!$C$96</definedName>
    <definedName name="СП_20270101_feb6a31dc7cd11f1863a005056b5e863">'Данные бюджета'!$C$109</definedName>
    <definedName name="СП_20270101_feb6a325c7cd11f1863a005056b5e863">'Данные бюджета'!$C$117</definedName>
    <definedName name="СП_20270101_feb6a328c7cd11f1863a005056b5e863">'Данные бюджета'!$C$120</definedName>
    <definedName name="СП_20270101_feb6a32bc7cd11f1863a005056b5e863">'Данные бюджета'!$C$123</definedName>
    <definedName name="СП_20270101_feb6a332c7cd11f1863a005056b5e863">'Данные бюджета'!$C$130</definedName>
    <definedName name="СП_20270101_feb6a339c7cd11f1863a005056b5e863">'Данные бюджета'!$C$137</definedName>
    <definedName name="СП_20270101_feb6a33dc7cd11f1863a005056b5e863">'Данные бюджета'!$C$141</definedName>
    <definedName name="СП_20270101_ffc1afcac85811f083a1005056b5170a">'Данные бюджета'!$C$128</definedName>
    <definedName name="СП_20270201_018a9487c7b411f083a1005056b5170a">'Данные бюджета'!$D$40</definedName>
    <definedName name="СП_20270201_036681dbc84811f083a1005056b5170a">'Данные бюджета'!$D$122</definedName>
    <definedName name="СП_20270201_03e74c0fc7d911f083a1005056b5170a">'Данные бюджета'!$D$102</definedName>
    <definedName name="СП_20270201_05104b79c7a811f083a1005056b5170a">'Данные бюджета'!$D$21</definedName>
    <definedName name="СП_20270201_0bb19101c85911f083a1005056b5170a">'Данные бюджета'!$D$129</definedName>
    <definedName name="СП_20270201_0db71d62c84611f083a1005056b5170a">'Данные бюджета'!$D$114</definedName>
    <definedName name="СП_20270201_1421d8301d4811f183c7005056b5170a">'Данные бюджета'!$D$23</definedName>
    <definedName name="СП_20270201_163680a8c7d611f083a1005056b5170a">'Данные бюджета'!$D$73</definedName>
    <definedName name="СП_20270201_16fb1a53c7a811f083a1005056b5170a">'Данные бюджета'!$D$22</definedName>
    <definedName name="СП_20270201_184a45cfc7d711f083a1005056b5170a">'Данные бюджета'!$D$86</definedName>
    <definedName name="СП_20270201_196bb604c7b411f083a1005056b5170a">'Данные бюджета'!$D$41</definedName>
    <definedName name="СП_20270201_1a614068928811ee8376005056a1be4c">'Данные бюджета'!$D$14</definedName>
    <definedName name="СП_20270201_1a684706c84611f083a1005056b5170a">'Данные бюджета'!$D$115</definedName>
    <definedName name="СП_20270201_1daed84fc7b511f083a1005056b5170a">'Данные бюджета'!$D$45</definedName>
    <definedName name="СП_20270201_22a01918c7aa11f083a1005056b5170a">'Данные бюджета'!$D$32</definedName>
    <definedName name="СП_20270201_25fb3b91c7d611f083a1005056b5170a">'Данные бюджета'!$D$74</definedName>
    <definedName name="СП_20270201_271acd8d928811ee8376005056a1be4c">'Данные бюджета'!$D$10</definedName>
    <definedName name="СП_20270201_28c78a1ec7d711f083a1005056b5170a">'Данные бюджета'!$D$87</definedName>
    <definedName name="СП_20270201_2f74b944c7d811f083a1005056b5170a">'Данные бюджета'!$D$94</definedName>
    <definedName name="СП_20270201_31632d0cc7d611f083a1005056b5170a">'Данные бюджета'!$D$75</definedName>
    <definedName name="СП_20270201_33d4cd4f213211f183c7005056b5170a">'Данные бюджета'!$D$138</definedName>
    <definedName name="СП_20270201_34aab0c2990f11ef8384005056b5170a">'Данные бюджета'!$D$57</definedName>
    <definedName name="СП_20270201_355043d4c7d711f083a1005056b5170a">'Данные бюджета'!$D$88</definedName>
    <definedName name="СП_20270201_389f4057c7cb11f083a1005056b5170a">'Данные бюджета'!$D$62</definedName>
    <definedName name="СП_20270201_3a95d75e928a11ee8376005056a1be4c">'Данные бюджета'!$D$16</definedName>
    <definedName name="СП_20270201_3bd8087fc7d611f083a1005056b5170a">'Данные бюджета'!$D$76</definedName>
    <definedName name="СП_20270201_3c712981dfb011e982ef005056a1be4c">'Данные бюджета'!$D$108</definedName>
    <definedName name="СП_20270201_3f2ff9d6a5b011ef8384005056b5170a">'Данные бюджета'!$D$93</definedName>
    <definedName name="СП_20270201_445c2761c7b511f083a1005056b5170a">'Данные бюджета'!$D$46</definedName>
    <definedName name="СП_20270201_4613411b213211f183c7005056b5170a">'Данные бюджета'!$D$140</definedName>
    <definedName name="СП_20270201_46829e96c7d711f083a1005056b5170a">'Данные бюджета'!$D$89</definedName>
    <definedName name="СП_20270201_477830aa94da11ee8376005056a1be4c">'Данные бюджета'!$D$55</definedName>
    <definedName name="СП_20270201_483ec6637b9911f18638005056b5e863">'Данные бюджета'!$D$139</definedName>
    <definedName name="СП_20270201_49fa47b0c7d611f083a1005056b5170a">'Данные бюджета'!$D$78</definedName>
    <definedName name="СП_20270201_55eb4f8fc7d611f083a1005056b5170a">'Данные бюджета'!$D$79</definedName>
    <definedName name="СП_20270201_584645171d5511f183c7005056b5170a">'Данные бюджета'!$D$24</definedName>
    <definedName name="СП_20270201_5b33182ac7b611f083a1005056b5170a">'Данные бюджета'!$D$49</definedName>
    <definedName name="СП_20270201_5e534b9ac7aa11f083a1005056b5170a">'Данные бюджета'!$D$33</definedName>
    <definedName name="СП_20270201_6244c5e8c84711f083a1005056b5170a">'Данные бюджета'!$D$118</definedName>
    <definedName name="СП_20270201_6277513ac7b711f083a1005056b5170a">'Данные бюджета'!$D$56</definedName>
    <definedName name="СП_20270201_63f6fb3ae48911f083a6005056b5170a">'Данные бюджета'!$D$36</definedName>
    <definedName name="СП_20270201_6dcdcaa9c7d611f083a1005056b5170a">'Данные бюджета'!$D$80</definedName>
    <definedName name="СП_20270201_6ec5bd18c7aa11f083a1005056b5170a">'Данные бюджета'!$D$34</definedName>
    <definedName name="СП_20270201_74e570081d4811f183c7005056b5170a">'Данные бюджета'!$D$29</definedName>
    <definedName name="СП_20270201_77e5b212695b11f18638005056b5e863">'Данные бюджета'!$D$142</definedName>
    <definedName name="СП_20270201_7c5e7d4fc7aa11f083a1005056b5170a">'Данные бюджета'!$D$35</definedName>
    <definedName name="СП_20270201_806711dd1d5511f183c7005056b5170a">'Данные бюджета'!$D$25</definedName>
    <definedName name="СП_20270201_85aa1e2d1d4f11f183c7005056b5170a">'Данные бюджета'!$D$113</definedName>
    <definedName name="СП_20270201_8e478e15c7aa11f083a1005056b5170a">'Данные бюджета'!$D$37</definedName>
    <definedName name="СП_20270201_9205e61ac7a011f083a1005056b5170a">'Данные бюджета'!$D$12</definedName>
    <definedName name="СП_20270201_93e92e58c94711f083a3005056b5170a">'Данные бюджета'!$D$111</definedName>
    <definedName name="СП_20270201_953ba8c5695b11f18638005056b5e863">'Данные бюджета'!$D$143</definedName>
    <definedName name="СП_20270201_9de962cac84711f083a1005056b5170a">'Данные бюджета'!$D$119</definedName>
    <definedName name="СП_20270201_9e642f621d4f11f183c7005056b5170a">'Данные бюджета'!$D$116</definedName>
    <definedName name="СП_20270201_a477ec4f545211f183c8005056b5170a">'Данные бюджета'!$D$27</definedName>
    <definedName name="СП_20270201_aa40973a1d4a11f183c7005056b5170a">'Данные бюджета'!$D$95</definedName>
    <definedName name="СП_20270201_ab1ef3c9c7cc11f083a1005056b5170a">'Данные бюджета'!$D$64</definedName>
    <definedName name="СП_20270201_ab6bfd2cc7d811f083a1005056b5170a">'Данные бюджета'!$D$97</definedName>
    <definedName name="СП_20270201_b1def38f1d5511f183c7005056b5170a">'Данные бюджета'!$D$26</definedName>
    <definedName name="СП_20270201_b3b0d47f1d5011f183c7005056b5170a">'Данные бюджета'!$D$127</definedName>
    <definedName name="СП_20270201_b414fc5ac85811f083a1005056b5170a">'Данные бюджета'!$D$124</definedName>
    <definedName name="СП_20270201_b438366e4cd911e680db005056a1088b">'Данные бюджета'!$D$11</definedName>
    <definedName name="СП_20270201_b4431256c7a611f083a1005056b5170a">'Данные бюджета'!$D$18</definedName>
    <definedName name="СП_20270201_bc7a7d01c7d811f083a1005056b5170a">'Данные бюджета'!$D$98</definedName>
    <definedName name="СП_20270201_be8eb25fc7cc11f083a1005056b5170a">'Данные бюджета'!$D$65</definedName>
    <definedName name="СП_20270201_bf6525441d5111f183c7005056b5170a">'Данные бюджета'!$D$131</definedName>
    <definedName name="СП_20270201_c0422569c7d611f083a1005056b5170a">'Данные бюджета'!$D$82</definedName>
    <definedName name="СП_20270201_c4d393ccc85911f083a1005056b5170a">'Данные бюджета'!$D$132</definedName>
    <definedName name="СП_20270201_c64e660926bd11f183c7005056b5170a">'Данные бюджета'!$D$77</definedName>
    <definedName name="СП_20270201_c7add6cc6a4811e4805ad4ae526f013e">'Данные бюджета'!$D$54</definedName>
    <definedName name="СП_20270201_c7add6cd6a4811e4805ad4ae526f013e">'Данные бюджета'!$D$107</definedName>
    <definedName name="СП_20270201_c7add6d06a4811e4805ad4ae526f013e">'Данные бюджета'!$D$43</definedName>
    <definedName name="СП_20270201_c7add6d26a4811e4805ad4ae526f013e">'Данные бюджета'!$D$48</definedName>
    <definedName name="СП_20270201_c7add6d36a4811e4805ad4ae526f013e">'Данные бюджета'!$D$47</definedName>
    <definedName name="СП_20270201_c7add6d46a4811e4805ad4ae526f013e">'Данные бюджета'!$D$42</definedName>
    <definedName name="СП_20270201_c7add6d76a4811e4805ad4ae526f013e">'Данные бюджета'!$D$39</definedName>
    <definedName name="СП_20270201_c7add6ea6a4811e4805ad4ae526f013e">'Данные бюджета'!$D$7</definedName>
    <definedName name="СП_20270201_c7add6ed6a4811e4805ad4ae526f013e">'Данные бюджета'!$D$9</definedName>
    <definedName name="СП_20270201_c7add6f66a4811e4805ad4ae526f013e">'Данные бюджета'!$D$15</definedName>
    <definedName name="СП_20270201_c7add6f76a4811e4805ad4ae526f013e">'Данные бюджета'!$D$13</definedName>
    <definedName name="СП_20270201_c7add6ff6a4811e4805ad4ae526f013e">'Данные бюджета'!$D$104</definedName>
    <definedName name="СП_20270201_c7add7016a4811e4805ad4ae526f013e">'Данные бюджета'!$D$106</definedName>
    <definedName name="СП_20270201_c7add7026a4811e4805ad4ae526f013e">'Данные бюджета'!$D$105</definedName>
    <definedName name="СП_20270201_c7add7046a4811e4805ad4ae526f013e">'Данные бюджета'!$D$52</definedName>
    <definedName name="СП_20270201_c7add7056a4811e4805ad4ae526f013e">'Данные бюджета'!$D$50</definedName>
    <definedName name="СП_20270201_c7add7066a4811e4805ad4ae526f013e">'Данные бюджета'!$D$53</definedName>
    <definedName name="СП_20270201_c7add7076a4811e4805ad4ae526f013e">'Данные бюджета'!$D$61</definedName>
    <definedName name="СП_20270201_c7add7266a4811e4805ad4ae526f013e">'Данные бюджета'!$D$51</definedName>
    <definedName name="СП_20270201_cc91985fc7d811f083a1005056b5170a">'Данные бюджета'!$D$99</definedName>
    <definedName name="СП_20270201_ccbf0ec5c7cc11f083a1005056b5170a">'Данные бюджета'!$D$66</definedName>
    <definedName name="СП_20270201_ce12a12494db11ee8376005056a1be4c">'Данные бюджета'!$D$60</definedName>
    <definedName name="СП_20270201_d0ff26e8c84511f083a1005056b5170a">'Данные бюджета'!$D$110</definedName>
    <definedName name="СП_20270201_d1196183c7d611f083a1005056b5170a">'Данные бюджета'!$D$83</definedName>
    <definedName name="СП_20270201_d450ad9cc84311f083a1005056b5170a">'Данные бюджета'!$D$134</definedName>
    <definedName name="СП_20270201_d56e8e951d4911f183c7005056b5170a">'Данные бюджета'!$D$70</definedName>
    <definedName name="СП_20270201_d9a415b3c7d611f083a1005056b5170a">'Данные бюджета'!$D$84</definedName>
    <definedName name="СП_20270201_dc23c215c7d511f083a1005056b5170a">'Данные бюджета'!$D$72</definedName>
    <definedName name="СП_20270201_de2933d4c85911f083a1005056b5170a">'Данные бюджета'!$D$133</definedName>
    <definedName name="СП_20270201_e0d93d37c7cc11f083a1005056b5170a">'Данные бюджета'!$D$67</definedName>
    <definedName name="СП_20270201_e21f8f63c7d711f083a1005056b5170a">'Данные бюджета'!$D$91</definedName>
    <definedName name="СП_20270201_e47771ec94dc11ee8376005056a1be4c">'Данные бюджета'!$D$20</definedName>
    <definedName name="СП_20270201_e5e5c84ec7d811f083a1005056b5170a">'Данные бюджета'!$D$100</definedName>
    <definedName name="СП_20270201_e7dd9c1c94db11ee8376005056a1be4c">'Данные бюджета'!$D$59</definedName>
    <definedName name="СП_20270201_eaf11e23c85911f083a1005056b5170a">'Данные бюджета'!$D$135</definedName>
    <definedName name="СП_20270201_ec74db8b1d5011f183c7005056b5170a">'Данные бюджета'!$D$125</definedName>
    <definedName name="СП_20270201_eda9216ec7cc11f083a1005056b5170a">'Данные бюджета'!$D$68</definedName>
    <definedName name="СП_20270201_f15872d1c7d811f083a1005056b5170a">'Данные бюджета'!$D$101</definedName>
    <definedName name="СП_20270201_f3278a99c7a711f083a1005056b5170a">'Данные бюджета'!$D$19</definedName>
    <definedName name="СП_20270201_f38ae66bc7d711f083a1005056b5170a">'Данные бюджета'!$D$92</definedName>
    <definedName name="СП_20270201_f3d09913c85811f083a1005056b5170a">'Данные бюджета'!$D$126</definedName>
    <definedName name="СП_20270201_f3f3b17d1d4911f183c7005056b5170a">'Данные бюджета'!$D$136</definedName>
    <definedName name="СП_20270201_f6bf7d1ec7b411f083a1005056b5170a">'Данные бюджета'!$D$44</definedName>
    <definedName name="СП_20270201_f8b81fd3c7cd11f1863a005056b5e863">'Данные бюджета'!$D$5</definedName>
    <definedName name="СП_20270201_f8b81fd4c7cd11f1863a005056b5e863">'Данные бюджета'!$D$6</definedName>
    <definedName name="СП_20270201_f8b81fd7c7cd11f1863a005056b5e863">'Данные бюджета'!$D$8</definedName>
    <definedName name="СП_20270201_f8b81fdfc7cd11f1863a005056b5e863">'Данные бюджета'!$D$17</definedName>
    <definedName name="СП_20270201_f8b81ffcc7cd11f1863a005056b5e863">'Данные бюджета'!$D$30</definedName>
    <definedName name="СП_20270201_f8b81ffdc7cd11f1863a005056b5e863">'Данные бюджета'!$D$103</definedName>
    <definedName name="СП_20270201_f8b82002c7cd11f1863a005056b5e863">'Данные бюджета'!$D$58</definedName>
    <definedName name="СП_20270201_f8b82007c7cd11f1863a005056b5e863">'Данные бюджета'!$D$38</definedName>
    <definedName name="СП_20270201_f92069c8c84711f083a1005056b5170a">'Данные бюджета'!$D$121</definedName>
    <definedName name="СП_20270201_f9883edd0bfd11f183c6005056b5170a">'Данные бюджета'!$D$28</definedName>
    <definedName name="СП_20270201_fc80b55ac7cc11f083a1005056b5170a">'Данные бюджета'!$D$69</definedName>
    <definedName name="СП_20270201_fdbd26b794dc11ee8376005056a1be4c">'Данные бюджета'!$D$112</definedName>
    <definedName name="СП_20270201_feb6a2a0c7cd11f1863a005056b5e863">'Данные бюджета'!$D$31</definedName>
    <definedName name="СП_20270201_feb6a2a7c7cd11f1863a005056b5e863">'Данные бюджета'!$D$63</definedName>
    <definedName name="СП_20270201_feb6a2afc7cd11f1863a005056b5e863">'Данные бюджета'!$D$71</definedName>
    <definedName name="СП_20270201_feb6a2e0c7cd11f1863a005056b5e863">'Данные бюджета'!$D$81</definedName>
    <definedName name="СП_20270201_feb6a30bc7cd11f1863a005056b5e863">'Данные бюджета'!$D$85</definedName>
    <definedName name="СП_20270201_feb6a310c7cd11f1863a005056b5e863">'Данные бюджета'!$D$90</definedName>
    <definedName name="СП_20270201_feb6a316c7cd11f1863a005056b5e863">'Данные бюджета'!$D$96</definedName>
    <definedName name="СП_20270201_feb6a31dc7cd11f1863a005056b5e863">'Данные бюджета'!$D$109</definedName>
    <definedName name="СП_20270201_feb6a325c7cd11f1863a005056b5e863">'Данные бюджета'!$D$117</definedName>
    <definedName name="СП_20270201_feb6a328c7cd11f1863a005056b5e863">'Данные бюджета'!$D$120</definedName>
    <definedName name="СП_20270201_feb6a32bc7cd11f1863a005056b5e863">'Данные бюджета'!$D$123</definedName>
    <definedName name="СП_20270201_feb6a332c7cd11f1863a005056b5e863">'Данные бюджета'!$D$130</definedName>
    <definedName name="СП_20270201_feb6a339c7cd11f1863a005056b5e863">'Данные бюджета'!$D$137</definedName>
    <definedName name="СП_20270201_feb6a33dc7cd11f1863a005056b5e863">'Данные бюджета'!$D$141</definedName>
    <definedName name="СП_20270201_ffc1afcac85811f083a1005056b5170a">'Данные бюджета'!$D$128</definedName>
    <definedName name="СП_20270301_018a9487c7b411f083a1005056b5170a">'Данные бюджета'!$E$40</definedName>
    <definedName name="СП_20270301_036681dbc84811f083a1005056b5170a">'Данные бюджета'!$E$122</definedName>
    <definedName name="СП_20270301_03e74c0fc7d911f083a1005056b5170a">'Данные бюджета'!$E$102</definedName>
    <definedName name="СП_20270301_05104b79c7a811f083a1005056b5170a">'Данные бюджета'!$E$21</definedName>
    <definedName name="СП_20270301_0bb19101c85911f083a1005056b5170a">'Данные бюджета'!$E$129</definedName>
    <definedName name="СП_20270301_0db71d62c84611f083a1005056b5170a">'Данные бюджета'!$E$114</definedName>
    <definedName name="СП_20270301_1421d8301d4811f183c7005056b5170a">'Данные бюджета'!$E$23</definedName>
    <definedName name="СП_20270301_163680a8c7d611f083a1005056b5170a">'Данные бюджета'!$E$73</definedName>
    <definedName name="СП_20270301_16fb1a53c7a811f083a1005056b5170a">'Данные бюджета'!$E$22</definedName>
    <definedName name="СП_20270301_184a45cfc7d711f083a1005056b5170a">'Данные бюджета'!$E$86</definedName>
    <definedName name="СП_20270301_196bb604c7b411f083a1005056b5170a">'Данные бюджета'!$E$41</definedName>
    <definedName name="СП_20270301_1a614068928811ee8376005056a1be4c">'Данные бюджета'!$E$14</definedName>
    <definedName name="СП_20270301_1a684706c84611f083a1005056b5170a">'Данные бюджета'!$E$115</definedName>
    <definedName name="СП_20270301_1daed84fc7b511f083a1005056b5170a">'Данные бюджета'!$E$45</definedName>
    <definedName name="СП_20270301_22a01918c7aa11f083a1005056b5170a">'Данные бюджета'!$E$32</definedName>
    <definedName name="СП_20270301_25fb3b91c7d611f083a1005056b5170a">'Данные бюджета'!$E$74</definedName>
    <definedName name="СП_20270301_271acd8d928811ee8376005056a1be4c">'Данные бюджета'!$E$10</definedName>
    <definedName name="СП_20270301_28c78a1ec7d711f083a1005056b5170a">'Данные бюджета'!$E$87</definedName>
    <definedName name="СП_20270301_2f74b944c7d811f083a1005056b5170a">'Данные бюджета'!$E$94</definedName>
    <definedName name="СП_20270301_31632d0cc7d611f083a1005056b5170a">'Данные бюджета'!$E$75</definedName>
    <definedName name="СП_20270301_33d4cd4f213211f183c7005056b5170a">'Данные бюджета'!$E$138</definedName>
    <definedName name="СП_20270301_34aab0c2990f11ef8384005056b5170a">'Данные бюджета'!$E$57</definedName>
    <definedName name="СП_20270301_355043d4c7d711f083a1005056b5170a">'Данные бюджета'!$E$88</definedName>
    <definedName name="СП_20270301_389f4057c7cb11f083a1005056b5170a">'Данные бюджета'!$E$62</definedName>
    <definedName name="СП_20270301_3a95d75e928a11ee8376005056a1be4c">'Данные бюджета'!$E$16</definedName>
    <definedName name="СП_20270301_3bd8087fc7d611f083a1005056b5170a">'Данные бюджета'!$E$76</definedName>
    <definedName name="СП_20270301_3c712981dfb011e982ef005056a1be4c">'Данные бюджета'!$E$108</definedName>
    <definedName name="СП_20270301_3f2ff9d6a5b011ef8384005056b5170a">'Данные бюджета'!$E$93</definedName>
    <definedName name="СП_20270301_445c2761c7b511f083a1005056b5170a">'Данные бюджета'!$E$46</definedName>
    <definedName name="СП_20270301_4613411b213211f183c7005056b5170a">'Данные бюджета'!$E$140</definedName>
    <definedName name="СП_20270301_46829e96c7d711f083a1005056b5170a">'Данные бюджета'!$E$89</definedName>
    <definedName name="СП_20270301_477830aa94da11ee8376005056a1be4c">'Данные бюджета'!$E$55</definedName>
    <definedName name="СП_20270301_483ec6637b9911f18638005056b5e863">'Данные бюджета'!$E$139</definedName>
    <definedName name="СП_20270301_49fa47b0c7d611f083a1005056b5170a">'Данные бюджета'!$E$78</definedName>
    <definedName name="СП_20270301_55eb4f8fc7d611f083a1005056b5170a">'Данные бюджета'!$E$79</definedName>
    <definedName name="СП_20270301_584645171d5511f183c7005056b5170a">'Данные бюджета'!$E$24</definedName>
    <definedName name="СП_20270301_5b33182ac7b611f083a1005056b5170a">'Данные бюджета'!$E$49</definedName>
    <definedName name="СП_20270301_5e534b9ac7aa11f083a1005056b5170a">'Данные бюджета'!$E$33</definedName>
    <definedName name="СП_20270301_6244c5e8c84711f083a1005056b5170a">'Данные бюджета'!$E$118</definedName>
    <definedName name="СП_20270301_6277513ac7b711f083a1005056b5170a">'Данные бюджета'!$E$56</definedName>
    <definedName name="СП_20270301_63f6fb3ae48911f083a6005056b5170a">'Данные бюджета'!$E$36</definedName>
    <definedName name="СП_20270301_6dcdcaa9c7d611f083a1005056b5170a">'Данные бюджета'!$E$80</definedName>
    <definedName name="СП_20270301_6ec5bd18c7aa11f083a1005056b5170a">'Данные бюджета'!$E$34</definedName>
    <definedName name="СП_20270301_74e570081d4811f183c7005056b5170a">'Данные бюджета'!$E$29</definedName>
    <definedName name="СП_20270301_77e5b212695b11f18638005056b5e863">'Данные бюджета'!$E$142</definedName>
    <definedName name="СП_20270301_7c5e7d4fc7aa11f083a1005056b5170a">'Данные бюджета'!$E$35</definedName>
    <definedName name="СП_20270301_806711dd1d5511f183c7005056b5170a">'Данные бюджета'!$E$25</definedName>
    <definedName name="СП_20270301_85aa1e2d1d4f11f183c7005056b5170a">'Данные бюджета'!$E$113</definedName>
    <definedName name="СП_20270301_8e478e15c7aa11f083a1005056b5170a">'Данные бюджета'!$E$37</definedName>
    <definedName name="СП_20270301_9205e61ac7a011f083a1005056b5170a">'Данные бюджета'!$E$12</definedName>
    <definedName name="СП_20270301_93e92e58c94711f083a3005056b5170a">'Данные бюджета'!$E$111</definedName>
    <definedName name="СП_20270301_953ba8c5695b11f18638005056b5e863">'Данные бюджета'!$E$143</definedName>
    <definedName name="СП_20270301_9de962cac84711f083a1005056b5170a">'Данные бюджета'!$E$119</definedName>
    <definedName name="СП_20270301_9e642f621d4f11f183c7005056b5170a">'Данные бюджета'!$E$116</definedName>
    <definedName name="СП_20270301_a477ec4f545211f183c8005056b5170a">'Данные бюджета'!$E$27</definedName>
    <definedName name="СП_20270301_aa40973a1d4a11f183c7005056b5170a">'Данные бюджета'!$E$95</definedName>
    <definedName name="СП_20270301_ab1ef3c9c7cc11f083a1005056b5170a">'Данные бюджета'!$E$64</definedName>
    <definedName name="СП_20270301_ab6bfd2cc7d811f083a1005056b5170a">'Данные бюджета'!$E$97</definedName>
    <definedName name="СП_20270301_b1def38f1d5511f183c7005056b5170a">'Данные бюджета'!$E$26</definedName>
    <definedName name="СП_20270301_b3b0d47f1d5011f183c7005056b5170a">'Данные бюджета'!$E$127</definedName>
    <definedName name="СП_20270301_b414fc5ac85811f083a1005056b5170a">'Данные бюджета'!$E$124</definedName>
    <definedName name="СП_20270301_b438366e4cd911e680db005056a1088b">'Данные бюджета'!$E$11</definedName>
    <definedName name="СП_20270301_b4431256c7a611f083a1005056b5170a">'Данные бюджета'!$E$18</definedName>
    <definedName name="СП_20270301_bc7a7d01c7d811f083a1005056b5170a">'Данные бюджета'!$E$98</definedName>
    <definedName name="СП_20270301_be8eb25fc7cc11f083a1005056b5170a">'Данные бюджета'!$E$65</definedName>
    <definedName name="СП_20270301_bf6525441d5111f183c7005056b5170a">'Данные бюджета'!$E$131</definedName>
    <definedName name="СП_20270301_c0422569c7d611f083a1005056b5170a">'Данные бюджета'!$E$82</definedName>
    <definedName name="СП_20270301_c4d393ccc85911f083a1005056b5170a">'Данные бюджета'!$E$132</definedName>
    <definedName name="СП_20270301_c64e660926bd11f183c7005056b5170a">'Данные бюджета'!$E$77</definedName>
    <definedName name="СП_20270301_c7add6cc6a4811e4805ad4ae526f013e">'Данные бюджета'!$E$54</definedName>
    <definedName name="СП_20270301_c7add6cd6a4811e4805ad4ae526f013e">'Данные бюджета'!$E$107</definedName>
    <definedName name="СП_20270301_c7add6d06a4811e4805ad4ae526f013e">'Данные бюджета'!$E$43</definedName>
    <definedName name="СП_20270301_c7add6d26a4811e4805ad4ae526f013e">'Данные бюджета'!$E$48</definedName>
    <definedName name="СП_20270301_c7add6d36a4811e4805ad4ae526f013e">'Данные бюджета'!$E$47</definedName>
    <definedName name="СП_20270301_c7add6d46a4811e4805ad4ae526f013e">'Данные бюджета'!$E$42</definedName>
    <definedName name="СП_20270301_c7add6d76a4811e4805ad4ae526f013e">'Данные бюджета'!$E$39</definedName>
    <definedName name="СП_20270301_c7add6ea6a4811e4805ad4ae526f013e">'Данные бюджета'!$E$7</definedName>
    <definedName name="СП_20270301_c7add6ed6a4811e4805ad4ae526f013e">'Данные бюджета'!$E$9</definedName>
    <definedName name="СП_20270301_c7add6f66a4811e4805ad4ae526f013e">'Данные бюджета'!$E$15</definedName>
    <definedName name="СП_20270301_c7add6f76a4811e4805ad4ae526f013e">'Данные бюджета'!$E$13</definedName>
    <definedName name="СП_20270301_c7add6ff6a4811e4805ad4ae526f013e">'Данные бюджета'!$E$104</definedName>
    <definedName name="СП_20270301_c7add7016a4811e4805ad4ae526f013e">'Данные бюджета'!$E$106</definedName>
    <definedName name="СП_20270301_c7add7026a4811e4805ad4ae526f013e">'Данные бюджета'!$E$105</definedName>
    <definedName name="СП_20270301_c7add7046a4811e4805ad4ae526f013e">'Данные бюджета'!$E$52</definedName>
    <definedName name="СП_20270301_c7add7056a4811e4805ad4ae526f013e">'Данные бюджета'!$E$50</definedName>
    <definedName name="СП_20270301_c7add7066a4811e4805ad4ae526f013e">'Данные бюджета'!$E$53</definedName>
    <definedName name="СП_20270301_c7add7076a4811e4805ad4ae526f013e">'Данные бюджета'!$E$61</definedName>
    <definedName name="СП_20270301_c7add7266a4811e4805ad4ae526f013e">'Данные бюджета'!$E$51</definedName>
    <definedName name="СП_20270301_cc91985fc7d811f083a1005056b5170a">'Данные бюджета'!$E$99</definedName>
    <definedName name="СП_20270301_ccbf0ec5c7cc11f083a1005056b5170a">'Данные бюджета'!$E$66</definedName>
    <definedName name="СП_20270301_ce12a12494db11ee8376005056a1be4c">'Данные бюджета'!$E$60</definedName>
    <definedName name="СП_20270301_d0ff26e8c84511f083a1005056b5170a">'Данные бюджета'!$E$110</definedName>
    <definedName name="СП_20270301_d1196183c7d611f083a1005056b5170a">'Данные бюджета'!$E$83</definedName>
    <definedName name="СП_20270301_d450ad9cc84311f083a1005056b5170a">'Данные бюджета'!$E$134</definedName>
    <definedName name="СП_20270301_d56e8e951d4911f183c7005056b5170a">'Данные бюджета'!$E$70</definedName>
    <definedName name="СП_20270301_d9a415b3c7d611f083a1005056b5170a">'Данные бюджета'!$E$84</definedName>
    <definedName name="СП_20270301_dc23c215c7d511f083a1005056b5170a">'Данные бюджета'!$E$72</definedName>
    <definedName name="СП_20270301_de2933d4c85911f083a1005056b5170a">'Данные бюджета'!$E$133</definedName>
    <definedName name="СП_20270301_e0d93d37c7cc11f083a1005056b5170a">'Данные бюджета'!$E$67</definedName>
    <definedName name="СП_20270301_e21f8f63c7d711f083a1005056b5170a">'Данные бюджета'!$E$91</definedName>
    <definedName name="СП_20270301_e47771ec94dc11ee8376005056a1be4c">'Данные бюджета'!$E$20</definedName>
    <definedName name="СП_20270301_e5e5c84ec7d811f083a1005056b5170a">'Данные бюджета'!$E$100</definedName>
    <definedName name="СП_20270301_e7dd9c1c94db11ee8376005056a1be4c">'Данные бюджета'!$E$59</definedName>
    <definedName name="СП_20270301_eaf11e23c85911f083a1005056b5170a">'Данные бюджета'!$E$135</definedName>
    <definedName name="СП_20270301_ec74db8b1d5011f183c7005056b5170a">'Данные бюджета'!$E$125</definedName>
    <definedName name="СП_20270301_eda9216ec7cc11f083a1005056b5170a">'Данные бюджета'!$E$68</definedName>
    <definedName name="СП_20270301_f15872d1c7d811f083a1005056b5170a">'Данные бюджета'!$E$101</definedName>
    <definedName name="СП_20270301_f3278a99c7a711f083a1005056b5170a">'Данные бюджета'!$E$19</definedName>
    <definedName name="СП_20270301_f38ae66bc7d711f083a1005056b5170a">'Данные бюджета'!$E$92</definedName>
    <definedName name="СП_20270301_f3d09913c85811f083a1005056b5170a">'Данные бюджета'!$E$126</definedName>
    <definedName name="СП_20270301_f3f3b17d1d4911f183c7005056b5170a">'Данные бюджета'!$E$136</definedName>
    <definedName name="СП_20270301_f6bf7d1ec7b411f083a1005056b5170a">'Данные бюджета'!$E$44</definedName>
    <definedName name="СП_20270301_f8b81fd3c7cd11f1863a005056b5e863">'Данные бюджета'!$E$5</definedName>
    <definedName name="СП_20270301_f8b81fd4c7cd11f1863a005056b5e863">'Данные бюджета'!$E$6</definedName>
    <definedName name="СП_20270301_f8b81fd7c7cd11f1863a005056b5e863">'Данные бюджета'!$E$8</definedName>
    <definedName name="СП_20270301_f8b81fdfc7cd11f1863a005056b5e863">'Данные бюджета'!$E$17</definedName>
    <definedName name="СП_20270301_f8b81ffcc7cd11f1863a005056b5e863">'Данные бюджета'!$E$30</definedName>
    <definedName name="СП_20270301_f8b81ffdc7cd11f1863a005056b5e863">'Данные бюджета'!$E$103</definedName>
    <definedName name="СП_20270301_f8b82002c7cd11f1863a005056b5e863">'Данные бюджета'!$E$58</definedName>
    <definedName name="СП_20270301_f8b82007c7cd11f1863a005056b5e863">'Данные бюджета'!$E$38</definedName>
    <definedName name="СП_20270301_f92069c8c84711f083a1005056b5170a">'Данные бюджета'!$E$121</definedName>
    <definedName name="СП_20270301_f9883edd0bfd11f183c6005056b5170a">'Данные бюджета'!$E$28</definedName>
    <definedName name="СП_20270301_fc80b55ac7cc11f083a1005056b5170a">'Данные бюджета'!$E$69</definedName>
    <definedName name="СП_20270301_fdbd26b794dc11ee8376005056a1be4c">'Данные бюджета'!$E$112</definedName>
    <definedName name="СП_20270301_feb6a2a0c7cd11f1863a005056b5e863">'Данные бюджета'!$E$31</definedName>
    <definedName name="СП_20270301_feb6a2a7c7cd11f1863a005056b5e863">'Данные бюджета'!$E$63</definedName>
    <definedName name="СП_20270301_feb6a2afc7cd11f1863a005056b5e863">'Данные бюджета'!$E$71</definedName>
    <definedName name="СП_20270301_feb6a2e0c7cd11f1863a005056b5e863">'Данные бюджета'!$E$81</definedName>
    <definedName name="СП_20270301_feb6a30bc7cd11f1863a005056b5e863">'Данные бюджета'!$E$85</definedName>
    <definedName name="СП_20270301_feb6a310c7cd11f1863a005056b5e863">'Данные бюджета'!$E$90</definedName>
    <definedName name="СП_20270301_feb6a316c7cd11f1863a005056b5e863">'Данные бюджета'!$E$96</definedName>
    <definedName name="СП_20270301_feb6a31dc7cd11f1863a005056b5e863">'Данные бюджета'!$E$109</definedName>
    <definedName name="СП_20270301_feb6a325c7cd11f1863a005056b5e863">'Данные бюджета'!$E$117</definedName>
    <definedName name="СП_20270301_feb6a328c7cd11f1863a005056b5e863">'Данные бюджета'!$E$120</definedName>
    <definedName name="СП_20270301_feb6a32bc7cd11f1863a005056b5e863">'Данные бюджета'!$E$123</definedName>
    <definedName name="СП_20270301_feb6a332c7cd11f1863a005056b5e863">'Данные бюджета'!$E$130</definedName>
    <definedName name="СП_20270301_feb6a339c7cd11f1863a005056b5e863">'Данные бюджета'!$E$137</definedName>
    <definedName name="СП_20270301_feb6a33dc7cd11f1863a005056b5e863">'Данные бюджета'!$E$141</definedName>
    <definedName name="СП_20270301_ffc1afcac85811f083a1005056b5170a">'Данные бюджета'!$E$128</definedName>
    <definedName name="СП_20270401_018a9487c7b411f083a1005056b5170a">'Данные бюджета'!$F$40</definedName>
    <definedName name="СП_20270401_036681dbc84811f083a1005056b5170a">'Данные бюджета'!$F$122</definedName>
    <definedName name="СП_20270401_03e74c0fc7d911f083a1005056b5170a">'Данные бюджета'!$F$102</definedName>
    <definedName name="СП_20270401_05104b79c7a811f083a1005056b5170a">'Данные бюджета'!$F$21</definedName>
    <definedName name="СП_20270401_0bb19101c85911f083a1005056b5170a">'Данные бюджета'!$F$129</definedName>
    <definedName name="СП_20270401_0db71d62c84611f083a1005056b5170a">'Данные бюджета'!$F$114</definedName>
    <definedName name="СП_20270401_1421d8301d4811f183c7005056b5170a">'Данные бюджета'!$F$23</definedName>
    <definedName name="СП_20270401_163680a8c7d611f083a1005056b5170a">'Данные бюджета'!$F$73</definedName>
    <definedName name="СП_20270401_16fb1a53c7a811f083a1005056b5170a">'Данные бюджета'!$F$22</definedName>
    <definedName name="СП_20270401_184a45cfc7d711f083a1005056b5170a">'Данные бюджета'!$F$86</definedName>
    <definedName name="СП_20270401_196bb604c7b411f083a1005056b5170a">'Данные бюджета'!$F$41</definedName>
    <definedName name="СП_20270401_1a614068928811ee8376005056a1be4c">'Данные бюджета'!$F$14</definedName>
    <definedName name="СП_20270401_1a684706c84611f083a1005056b5170a">'Данные бюджета'!$F$115</definedName>
    <definedName name="СП_20270401_1daed84fc7b511f083a1005056b5170a">'Данные бюджета'!$F$45</definedName>
    <definedName name="СП_20270401_22a01918c7aa11f083a1005056b5170a">'Данные бюджета'!$F$32</definedName>
    <definedName name="СП_20270401_25fb3b91c7d611f083a1005056b5170a">'Данные бюджета'!$F$74</definedName>
    <definedName name="СП_20270401_271acd8d928811ee8376005056a1be4c">'Данные бюджета'!$F$10</definedName>
    <definedName name="СП_20270401_28c78a1ec7d711f083a1005056b5170a">'Данные бюджета'!$F$87</definedName>
    <definedName name="СП_20270401_2f74b944c7d811f083a1005056b5170a">'Данные бюджета'!$F$94</definedName>
    <definedName name="СП_20270401_31632d0cc7d611f083a1005056b5170a">'Данные бюджета'!$F$75</definedName>
    <definedName name="СП_20270401_33d4cd4f213211f183c7005056b5170a">'Данные бюджета'!$F$138</definedName>
    <definedName name="СП_20270401_34aab0c2990f11ef8384005056b5170a">'Данные бюджета'!$F$57</definedName>
    <definedName name="СП_20270401_355043d4c7d711f083a1005056b5170a">'Данные бюджета'!$F$88</definedName>
    <definedName name="СП_20270401_389f4057c7cb11f083a1005056b5170a">'Данные бюджета'!$F$62</definedName>
    <definedName name="СП_20270401_3a95d75e928a11ee8376005056a1be4c">'Данные бюджета'!$F$16</definedName>
    <definedName name="СП_20270401_3bd8087fc7d611f083a1005056b5170a">'Данные бюджета'!$F$76</definedName>
    <definedName name="СП_20270401_3c712981dfb011e982ef005056a1be4c">'Данные бюджета'!$F$108</definedName>
    <definedName name="СП_20270401_3f2ff9d6a5b011ef8384005056b5170a">'Данные бюджета'!$F$93</definedName>
    <definedName name="СП_20270401_445c2761c7b511f083a1005056b5170a">'Данные бюджета'!$F$46</definedName>
    <definedName name="СП_20270401_4613411b213211f183c7005056b5170a">'Данные бюджета'!$F$140</definedName>
    <definedName name="СП_20270401_46829e96c7d711f083a1005056b5170a">'Данные бюджета'!$F$89</definedName>
    <definedName name="СП_20270401_477830aa94da11ee8376005056a1be4c">'Данные бюджета'!$F$55</definedName>
    <definedName name="СП_20270401_483ec6637b9911f18638005056b5e863">'Данные бюджета'!$F$139</definedName>
    <definedName name="СП_20270401_49fa47b0c7d611f083a1005056b5170a">'Данные бюджета'!$F$78</definedName>
    <definedName name="СП_20270401_55eb4f8fc7d611f083a1005056b5170a">'Данные бюджета'!$F$79</definedName>
    <definedName name="СП_20270401_584645171d5511f183c7005056b5170a">'Данные бюджета'!$F$24</definedName>
    <definedName name="СП_20270401_5b33182ac7b611f083a1005056b5170a">'Данные бюджета'!$F$49</definedName>
    <definedName name="СП_20270401_5e534b9ac7aa11f083a1005056b5170a">'Данные бюджета'!$F$33</definedName>
    <definedName name="СП_20270401_6244c5e8c84711f083a1005056b5170a">'Данные бюджета'!$F$118</definedName>
    <definedName name="СП_20270401_6277513ac7b711f083a1005056b5170a">'Данные бюджета'!$F$56</definedName>
    <definedName name="СП_20270401_63f6fb3ae48911f083a6005056b5170a">'Данные бюджета'!$F$36</definedName>
    <definedName name="СП_20270401_6dcdcaa9c7d611f083a1005056b5170a">'Данные бюджета'!$F$80</definedName>
    <definedName name="СП_20270401_6ec5bd18c7aa11f083a1005056b5170a">'Данные бюджета'!$F$34</definedName>
    <definedName name="СП_20270401_74e570081d4811f183c7005056b5170a">'Данные бюджета'!$F$29</definedName>
    <definedName name="СП_20270401_77e5b212695b11f18638005056b5e863">'Данные бюджета'!$F$142</definedName>
    <definedName name="СП_20270401_7c5e7d4fc7aa11f083a1005056b5170a">'Данные бюджета'!$F$35</definedName>
    <definedName name="СП_20270401_806711dd1d5511f183c7005056b5170a">'Данные бюджета'!$F$25</definedName>
    <definedName name="СП_20270401_85aa1e2d1d4f11f183c7005056b5170a">'Данные бюджета'!$F$113</definedName>
    <definedName name="СП_20270401_8e478e15c7aa11f083a1005056b5170a">'Данные бюджета'!$F$37</definedName>
    <definedName name="СП_20270401_9205e61ac7a011f083a1005056b5170a">'Данные бюджета'!$F$12</definedName>
    <definedName name="СП_20270401_93e92e58c94711f083a3005056b5170a">'Данные бюджета'!$F$111</definedName>
    <definedName name="СП_20270401_953ba8c5695b11f18638005056b5e863">'Данные бюджета'!$F$143</definedName>
    <definedName name="СП_20270401_9de962cac84711f083a1005056b5170a">'Данные бюджета'!$F$119</definedName>
    <definedName name="СП_20270401_9e642f621d4f11f183c7005056b5170a">'Данные бюджета'!$F$116</definedName>
    <definedName name="СП_20270401_a477ec4f545211f183c8005056b5170a">'Данные бюджета'!$F$27</definedName>
    <definedName name="СП_20270401_aa40973a1d4a11f183c7005056b5170a">'Данные бюджета'!$F$95</definedName>
    <definedName name="СП_20270401_ab1ef3c9c7cc11f083a1005056b5170a">'Данные бюджета'!$F$64</definedName>
    <definedName name="СП_20270401_ab6bfd2cc7d811f083a1005056b5170a">'Данные бюджета'!$F$97</definedName>
    <definedName name="СП_20270401_b1def38f1d5511f183c7005056b5170a">'Данные бюджета'!$F$26</definedName>
    <definedName name="СП_20270401_b3b0d47f1d5011f183c7005056b5170a">'Данные бюджета'!$F$127</definedName>
    <definedName name="СП_20270401_b414fc5ac85811f083a1005056b5170a">'Данные бюджета'!$F$124</definedName>
    <definedName name="СП_20270401_b438366e4cd911e680db005056a1088b">'Данные бюджета'!$F$11</definedName>
    <definedName name="СП_20270401_b4431256c7a611f083a1005056b5170a">'Данные бюджета'!$F$18</definedName>
    <definedName name="СП_20270401_bc7a7d01c7d811f083a1005056b5170a">'Данные бюджета'!$F$98</definedName>
    <definedName name="СП_20270401_be8eb25fc7cc11f083a1005056b5170a">'Данные бюджета'!$F$65</definedName>
    <definedName name="СП_20270401_bf6525441d5111f183c7005056b5170a">'Данные бюджета'!$F$131</definedName>
    <definedName name="СП_20270401_c0422569c7d611f083a1005056b5170a">'Данные бюджета'!$F$82</definedName>
    <definedName name="СП_20270401_c4d393ccc85911f083a1005056b5170a">'Данные бюджета'!$F$132</definedName>
    <definedName name="СП_20270401_c64e660926bd11f183c7005056b5170a">'Данные бюджета'!$F$77</definedName>
    <definedName name="СП_20270401_c7add6cc6a4811e4805ad4ae526f013e">'Данные бюджета'!$F$54</definedName>
    <definedName name="СП_20270401_c7add6cd6a4811e4805ad4ae526f013e">'Данные бюджета'!$F$107</definedName>
    <definedName name="СП_20270401_c7add6d06a4811e4805ad4ae526f013e">'Данные бюджета'!$F$43</definedName>
    <definedName name="СП_20270401_c7add6d26a4811e4805ad4ae526f013e">'Данные бюджета'!$F$48</definedName>
    <definedName name="СП_20270401_c7add6d36a4811e4805ad4ae526f013e">'Данные бюджета'!$F$47</definedName>
    <definedName name="СП_20270401_c7add6d46a4811e4805ad4ae526f013e">'Данные бюджета'!$F$42</definedName>
    <definedName name="СП_20270401_c7add6d76a4811e4805ad4ae526f013e">'Данные бюджета'!$F$39</definedName>
    <definedName name="СП_20270401_c7add6ea6a4811e4805ad4ae526f013e">'Данные бюджета'!$F$7</definedName>
    <definedName name="СП_20270401_c7add6ed6a4811e4805ad4ae526f013e">'Данные бюджета'!$F$9</definedName>
    <definedName name="СП_20270401_c7add6f66a4811e4805ad4ae526f013e">'Данные бюджета'!$F$15</definedName>
    <definedName name="СП_20270401_c7add6f76a4811e4805ad4ae526f013e">'Данные бюджета'!$F$13</definedName>
    <definedName name="СП_20270401_c7add6ff6a4811e4805ad4ae526f013e">'Данные бюджета'!$F$104</definedName>
    <definedName name="СП_20270401_c7add7016a4811e4805ad4ae526f013e">'Данные бюджета'!$F$106</definedName>
    <definedName name="СП_20270401_c7add7026a4811e4805ad4ae526f013e">'Данные бюджета'!$F$105</definedName>
    <definedName name="СП_20270401_c7add7046a4811e4805ad4ae526f013e">'Данные бюджета'!$F$52</definedName>
    <definedName name="СП_20270401_c7add7056a4811e4805ad4ae526f013e">'Данные бюджета'!$F$50</definedName>
    <definedName name="СП_20270401_c7add7066a4811e4805ad4ae526f013e">'Данные бюджета'!$F$53</definedName>
    <definedName name="СП_20270401_c7add7076a4811e4805ad4ae526f013e">'Данные бюджета'!$F$61</definedName>
    <definedName name="СП_20270401_c7add7266a4811e4805ad4ae526f013e">'Данные бюджета'!$F$51</definedName>
    <definedName name="СП_20270401_cc91985fc7d811f083a1005056b5170a">'Данные бюджета'!$F$99</definedName>
    <definedName name="СП_20270401_ccbf0ec5c7cc11f083a1005056b5170a">'Данные бюджета'!$F$66</definedName>
    <definedName name="СП_20270401_ce12a12494db11ee8376005056a1be4c">'Данные бюджета'!$F$60</definedName>
    <definedName name="СП_20270401_d0ff26e8c84511f083a1005056b5170a">'Данные бюджета'!$F$110</definedName>
    <definedName name="СП_20270401_d1196183c7d611f083a1005056b5170a">'Данные бюджета'!$F$83</definedName>
    <definedName name="СП_20270401_d450ad9cc84311f083a1005056b5170a">'Данные бюджета'!$F$134</definedName>
    <definedName name="СП_20270401_d56e8e951d4911f183c7005056b5170a">'Данные бюджета'!$F$70</definedName>
    <definedName name="СП_20270401_d9a415b3c7d611f083a1005056b5170a">'Данные бюджета'!$F$84</definedName>
    <definedName name="СП_20270401_dc23c215c7d511f083a1005056b5170a">'Данные бюджета'!$F$72</definedName>
    <definedName name="СП_20270401_de2933d4c85911f083a1005056b5170a">'Данные бюджета'!$F$133</definedName>
    <definedName name="СП_20270401_e0d93d37c7cc11f083a1005056b5170a">'Данные бюджета'!$F$67</definedName>
    <definedName name="СП_20270401_e21f8f63c7d711f083a1005056b5170a">'Данные бюджета'!$F$91</definedName>
    <definedName name="СП_20270401_e47771ec94dc11ee8376005056a1be4c">'Данные бюджета'!$F$20</definedName>
    <definedName name="СП_20270401_e5e5c84ec7d811f083a1005056b5170a">'Данные бюджета'!$F$100</definedName>
    <definedName name="СП_20270401_e7dd9c1c94db11ee8376005056a1be4c">'Данные бюджета'!$F$59</definedName>
    <definedName name="СП_20270401_eaf11e23c85911f083a1005056b5170a">'Данные бюджета'!$F$135</definedName>
    <definedName name="СП_20270401_ec74db8b1d5011f183c7005056b5170a">'Данные бюджета'!$F$125</definedName>
    <definedName name="СП_20270401_eda9216ec7cc11f083a1005056b5170a">'Данные бюджета'!$F$68</definedName>
    <definedName name="СП_20270401_f15872d1c7d811f083a1005056b5170a">'Данные бюджета'!$F$101</definedName>
    <definedName name="СП_20270401_f3278a99c7a711f083a1005056b5170a">'Данные бюджета'!$F$19</definedName>
    <definedName name="СП_20270401_f38ae66bc7d711f083a1005056b5170a">'Данные бюджета'!$F$92</definedName>
    <definedName name="СП_20270401_f3d09913c85811f083a1005056b5170a">'Данные бюджета'!$F$126</definedName>
    <definedName name="СП_20270401_f3f3b17d1d4911f183c7005056b5170a">'Данные бюджета'!$F$136</definedName>
    <definedName name="СП_20270401_f6bf7d1ec7b411f083a1005056b5170a">'Данные бюджета'!$F$44</definedName>
    <definedName name="СП_20270401_f8b81fd3c7cd11f1863a005056b5e863">'Данные бюджета'!$F$5</definedName>
    <definedName name="СП_20270401_f8b81fd4c7cd11f1863a005056b5e863">'Данные бюджета'!$F$6</definedName>
    <definedName name="СП_20270401_f8b81fd7c7cd11f1863a005056b5e863">'Данные бюджета'!$F$8</definedName>
    <definedName name="СП_20270401_f8b81fdfc7cd11f1863a005056b5e863">'Данные бюджета'!$F$17</definedName>
    <definedName name="СП_20270401_f8b81ffcc7cd11f1863a005056b5e863">'Данные бюджета'!$F$30</definedName>
    <definedName name="СП_20270401_f8b81ffdc7cd11f1863a005056b5e863">'Данные бюджета'!$F$103</definedName>
    <definedName name="СП_20270401_f8b82002c7cd11f1863a005056b5e863">'Данные бюджета'!$F$58</definedName>
    <definedName name="СП_20270401_f8b82007c7cd11f1863a005056b5e863">'Данные бюджета'!$F$38</definedName>
    <definedName name="СП_20270401_f92069c8c84711f083a1005056b5170a">'Данные бюджета'!$F$121</definedName>
    <definedName name="СП_20270401_f9883edd0bfd11f183c6005056b5170a">'Данные бюджета'!$F$28</definedName>
    <definedName name="СП_20270401_fc80b55ac7cc11f083a1005056b5170a">'Данные бюджета'!$F$69</definedName>
    <definedName name="СП_20270401_fdbd26b794dc11ee8376005056a1be4c">'Данные бюджета'!$F$112</definedName>
    <definedName name="СП_20270401_feb6a2a0c7cd11f1863a005056b5e863">'Данные бюджета'!$F$31</definedName>
    <definedName name="СП_20270401_feb6a2a7c7cd11f1863a005056b5e863">'Данные бюджета'!$F$63</definedName>
    <definedName name="СП_20270401_feb6a2afc7cd11f1863a005056b5e863">'Данные бюджета'!$F$71</definedName>
    <definedName name="СП_20270401_feb6a2e0c7cd11f1863a005056b5e863">'Данные бюджета'!$F$81</definedName>
    <definedName name="СП_20270401_feb6a30bc7cd11f1863a005056b5e863">'Данные бюджета'!$F$85</definedName>
    <definedName name="СП_20270401_feb6a310c7cd11f1863a005056b5e863">'Данные бюджета'!$F$90</definedName>
    <definedName name="СП_20270401_feb6a316c7cd11f1863a005056b5e863">'Данные бюджета'!$F$96</definedName>
    <definedName name="СП_20270401_feb6a31dc7cd11f1863a005056b5e863">'Данные бюджета'!$F$109</definedName>
    <definedName name="СП_20270401_feb6a325c7cd11f1863a005056b5e863">'Данные бюджета'!$F$117</definedName>
    <definedName name="СП_20270401_feb6a328c7cd11f1863a005056b5e863">'Данные бюджета'!$F$120</definedName>
    <definedName name="СП_20270401_feb6a32bc7cd11f1863a005056b5e863">'Данные бюджета'!$F$123</definedName>
    <definedName name="СП_20270401_feb6a332c7cd11f1863a005056b5e863">'Данные бюджета'!$F$130</definedName>
    <definedName name="СП_20270401_feb6a339c7cd11f1863a005056b5e863">'Данные бюджета'!$F$137</definedName>
    <definedName name="СП_20270401_feb6a33dc7cd11f1863a005056b5e863">'Данные бюджета'!$F$141</definedName>
    <definedName name="СП_20270401_ffc1afcac85811f083a1005056b5170a">'Данные бюджета'!$F$128</definedName>
    <definedName name="СП_20270501_018a9487c7b411f083a1005056b5170a">'Данные бюджета'!$G$40</definedName>
    <definedName name="СП_20270501_036681dbc84811f083a1005056b5170a">'Данные бюджета'!$G$122</definedName>
    <definedName name="СП_20270501_03e74c0fc7d911f083a1005056b5170a">'Данные бюджета'!$G$102</definedName>
    <definedName name="СП_20270501_05104b79c7a811f083a1005056b5170a">'Данные бюджета'!$G$21</definedName>
    <definedName name="СП_20270501_0bb19101c85911f083a1005056b5170a">'Данные бюджета'!$G$129</definedName>
    <definedName name="СП_20270501_0db71d62c84611f083a1005056b5170a">'Данные бюджета'!$G$114</definedName>
    <definedName name="СП_20270501_1421d8301d4811f183c7005056b5170a">'Данные бюджета'!$G$23</definedName>
    <definedName name="СП_20270501_163680a8c7d611f083a1005056b5170a">'Данные бюджета'!$G$73</definedName>
    <definedName name="СП_20270501_16fb1a53c7a811f083a1005056b5170a">'Данные бюджета'!$G$22</definedName>
    <definedName name="СП_20270501_184a45cfc7d711f083a1005056b5170a">'Данные бюджета'!$G$86</definedName>
    <definedName name="СП_20270501_196bb604c7b411f083a1005056b5170a">'Данные бюджета'!$G$41</definedName>
    <definedName name="СП_20270501_1a614068928811ee8376005056a1be4c">'Данные бюджета'!$G$14</definedName>
    <definedName name="СП_20270501_1a684706c84611f083a1005056b5170a">'Данные бюджета'!$G$115</definedName>
    <definedName name="СП_20270501_1daed84fc7b511f083a1005056b5170a">'Данные бюджета'!$G$45</definedName>
    <definedName name="СП_20270501_22a01918c7aa11f083a1005056b5170a">'Данные бюджета'!$G$32</definedName>
    <definedName name="СП_20270501_25fb3b91c7d611f083a1005056b5170a">'Данные бюджета'!$G$74</definedName>
    <definedName name="СП_20270501_271acd8d928811ee8376005056a1be4c">'Данные бюджета'!$G$10</definedName>
    <definedName name="СП_20270501_28c78a1ec7d711f083a1005056b5170a">'Данные бюджета'!$G$87</definedName>
    <definedName name="СП_20270501_2f74b944c7d811f083a1005056b5170a">'Данные бюджета'!$G$94</definedName>
    <definedName name="СП_20270501_31632d0cc7d611f083a1005056b5170a">'Данные бюджета'!$G$75</definedName>
    <definedName name="СП_20270501_33d4cd4f213211f183c7005056b5170a">'Данные бюджета'!$G$138</definedName>
    <definedName name="СП_20270501_34aab0c2990f11ef8384005056b5170a">'Данные бюджета'!$G$57</definedName>
    <definedName name="СП_20270501_355043d4c7d711f083a1005056b5170a">'Данные бюджета'!$G$88</definedName>
    <definedName name="СП_20270501_389f4057c7cb11f083a1005056b5170a">'Данные бюджета'!$G$62</definedName>
    <definedName name="СП_20270501_3a95d75e928a11ee8376005056a1be4c">'Данные бюджета'!$G$16</definedName>
    <definedName name="СП_20270501_3bd8087fc7d611f083a1005056b5170a">'Данные бюджета'!$G$76</definedName>
    <definedName name="СП_20270501_3c712981dfb011e982ef005056a1be4c">'Данные бюджета'!$G$108</definedName>
    <definedName name="СП_20270501_3f2ff9d6a5b011ef8384005056b5170a">'Данные бюджета'!$G$93</definedName>
    <definedName name="СП_20270501_445c2761c7b511f083a1005056b5170a">'Данные бюджета'!$G$46</definedName>
    <definedName name="СП_20270501_4613411b213211f183c7005056b5170a">'Данные бюджета'!$G$140</definedName>
    <definedName name="СП_20270501_46829e96c7d711f083a1005056b5170a">'Данные бюджета'!$G$89</definedName>
    <definedName name="СП_20270501_477830aa94da11ee8376005056a1be4c">'Данные бюджета'!$G$55</definedName>
    <definedName name="СП_20270501_483ec6637b9911f18638005056b5e863">'Данные бюджета'!$G$139</definedName>
    <definedName name="СП_20270501_49fa47b0c7d611f083a1005056b5170a">'Данные бюджета'!$G$78</definedName>
    <definedName name="СП_20270501_55eb4f8fc7d611f083a1005056b5170a">'Данные бюджета'!$G$79</definedName>
    <definedName name="СП_20270501_584645171d5511f183c7005056b5170a">'Данные бюджета'!$G$24</definedName>
    <definedName name="СП_20270501_5b33182ac7b611f083a1005056b5170a">'Данные бюджета'!$G$49</definedName>
    <definedName name="СП_20270501_5e534b9ac7aa11f083a1005056b5170a">'Данные бюджета'!$G$33</definedName>
    <definedName name="СП_20270501_6244c5e8c84711f083a1005056b5170a">'Данные бюджета'!$G$118</definedName>
    <definedName name="СП_20270501_6277513ac7b711f083a1005056b5170a">'Данные бюджета'!$G$56</definedName>
    <definedName name="СП_20270501_63f6fb3ae48911f083a6005056b5170a">'Данные бюджета'!$G$36</definedName>
    <definedName name="СП_20270501_6dcdcaa9c7d611f083a1005056b5170a">'Данные бюджета'!$G$80</definedName>
    <definedName name="СП_20270501_6ec5bd18c7aa11f083a1005056b5170a">'Данные бюджета'!$G$34</definedName>
    <definedName name="СП_20270501_74e570081d4811f183c7005056b5170a">'Данные бюджета'!$G$29</definedName>
    <definedName name="СП_20270501_77e5b212695b11f18638005056b5e863">'Данные бюджета'!$G$142</definedName>
    <definedName name="СП_20270501_7c5e7d4fc7aa11f083a1005056b5170a">'Данные бюджета'!$G$35</definedName>
    <definedName name="СП_20270501_806711dd1d5511f183c7005056b5170a">'Данные бюджета'!$G$25</definedName>
    <definedName name="СП_20270501_85aa1e2d1d4f11f183c7005056b5170a">'Данные бюджета'!$G$113</definedName>
    <definedName name="СП_20270501_8e478e15c7aa11f083a1005056b5170a">'Данные бюджета'!$G$37</definedName>
    <definedName name="СП_20270501_9205e61ac7a011f083a1005056b5170a">'Данные бюджета'!$G$12</definedName>
    <definedName name="СП_20270501_93e92e58c94711f083a3005056b5170a">'Данные бюджета'!$G$111</definedName>
    <definedName name="СП_20270501_953ba8c5695b11f18638005056b5e863">'Данные бюджета'!$G$143</definedName>
    <definedName name="СП_20270501_9de962cac84711f083a1005056b5170a">'Данные бюджета'!$G$119</definedName>
    <definedName name="СП_20270501_9e642f621d4f11f183c7005056b5170a">'Данные бюджета'!$G$116</definedName>
    <definedName name="СП_20270501_a477ec4f545211f183c8005056b5170a">'Данные бюджета'!$G$27</definedName>
    <definedName name="СП_20270501_aa40973a1d4a11f183c7005056b5170a">'Данные бюджета'!$G$95</definedName>
    <definedName name="СП_20270501_ab1ef3c9c7cc11f083a1005056b5170a">'Данные бюджета'!$G$64</definedName>
    <definedName name="СП_20270501_ab6bfd2cc7d811f083a1005056b5170a">'Данные бюджета'!$G$97</definedName>
    <definedName name="СП_20270501_b1def38f1d5511f183c7005056b5170a">'Данные бюджета'!$G$26</definedName>
    <definedName name="СП_20270501_b3b0d47f1d5011f183c7005056b5170a">'Данные бюджета'!$G$127</definedName>
    <definedName name="СП_20270501_b414fc5ac85811f083a1005056b5170a">'Данные бюджета'!$G$124</definedName>
    <definedName name="СП_20270501_b438366e4cd911e680db005056a1088b">'Данные бюджета'!$G$11</definedName>
    <definedName name="СП_20270501_b4431256c7a611f083a1005056b5170a">'Данные бюджета'!$G$18</definedName>
    <definedName name="СП_20270501_bc7a7d01c7d811f083a1005056b5170a">'Данные бюджета'!$G$98</definedName>
    <definedName name="СП_20270501_be8eb25fc7cc11f083a1005056b5170a">'Данные бюджета'!$G$65</definedName>
    <definedName name="СП_20270501_bf6525441d5111f183c7005056b5170a">'Данные бюджета'!$G$131</definedName>
    <definedName name="СП_20270501_c0422569c7d611f083a1005056b5170a">'Данные бюджета'!$G$82</definedName>
    <definedName name="СП_20270501_c4d393ccc85911f083a1005056b5170a">'Данные бюджета'!$G$132</definedName>
    <definedName name="СП_20270501_c64e660926bd11f183c7005056b5170a">'Данные бюджета'!$G$77</definedName>
    <definedName name="СП_20270501_c7add6cc6a4811e4805ad4ae526f013e">'Данные бюджета'!$G$54</definedName>
    <definedName name="СП_20270501_c7add6cd6a4811e4805ad4ae526f013e">'Данные бюджета'!$G$107</definedName>
    <definedName name="СП_20270501_c7add6d06a4811e4805ad4ae526f013e">'Данные бюджета'!$G$43</definedName>
    <definedName name="СП_20270501_c7add6d26a4811e4805ad4ae526f013e">'Данные бюджета'!$G$48</definedName>
    <definedName name="СП_20270501_c7add6d36a4811e4805ad4ae526f013e">'Данные бюджета'!$G$47</definedName>
    <definedName name="СП_20270501_c7add6d46a4811e4805ad4ae526f013e">'Данные бюджета'!$G$42</definedName>
    <definedName name="СП_20270501_c7add6d76a4811e4805ad4ae526f013e">'Данные бюджета'!$G$39</definedName>
    <definedName name="СП_20270501_c7add6ea6a4811e4805ad4ae526f013e">'Данные бюджета'!$G$7</definedName>
    <definedName name="СП_20270501_c7add6ed6a4811e4805ad4ae526f013e">'Данные бюджета'!$G$9</definedName>
    <definedName name="СП_20270501_c7add6f66a4811e4805ad4ae526f013e">'Данные бюджета'!$G$15</definedName>
    <definedName name="СП_20270501_c7add6f76a4811e4805ad4ae526f013e">'Данные бюджета'!$G$13</definedName>
    <definedName name="СП_20270501_c7add6ff6a4811e4805ad4ae526f013e">'Данные бюджета'!$G$104</definedName>
    <definedName name="СП_20270501_c7add7016a4811e4805ad4ae526f013e">'Данные бюджета'!$G$106</definedName>
    <definedName name="СП_20270501_c7add7026a4811e4805ad4ae526f013e">'Данные бюджета'!$G$105</definedName>
    <definedName name="СП_20270501_c7add7046a4811e4805ad4ae526f013e">'Данные бюджета'!$G$52</definedName>
    <definedName name="СП_20270501_c7add7056a4811e4805ad4ae526f013e">'Данные бюджета'!$G$50</definedName>
    <definedName name="СП_20270501_c7add7066a4811e4805ad4ae526f013e">'Данные бюджета'!$G$53</definedName>
    <definedName name="СП_20270501_c7add7076a4811e4805ad4ae526f013e">'Данные бюджета'!$G$61</definedName>
    <definedName name="СП_20270501_c7add7266a4811e4805ad4ae526f013e">'Данные бюджета'!$G$51</definedName>
    <definedName name="СП_20270501_cc91985fc7d811f083a1005056b5170a">'Данные бюджета'!$G$99</definedName>
    <definedName name="СП_20270501_ccbf0ec5c7cc11f083a1005056b5170a">'Данные бюджета'!$G$66</definedName>
    <definedName name="СП_20270501_ce12a12494db11ee8376005056a1be4c">'Данные бюджета'!$G$60</definedName>
    <definedName name="СП_20270501_d0ff26e8c84511f083a1005056b5170a">'Данные бюджета'!$G$110</definedName>
    <definedName name="СП_20270501_d1196183c7d611f083a1005056b5170a">'Данные бюджета'!$G$83</definedName>
    <definedName name="СП_20270501_d450ad9cc84311f083a1005056b5170a">'Данные бюджета'!$G$134</definedName>
    <definedName name="СП_20270501_d56e8e951d4911f183c7005056b5170a">'Данные бюджета'!$G$70</definedName>
    <definedName name="СП_20270501_d9a415b3c7d611f083a1005056b5170a">'Данные бюджета'!$G$84</definedName>
    <definedName name="СП_20270501_dc23c215c7d511f083a1005056b5170a">'Данные бюджета'!$G$72</definedName>
    <definedName name="СП_20270501_de2933d4c85911f083a1005056b5170a">'Данные бюджета'!$G$133</definedName>
    <definedName name="СП_20270501_e0d93d37c7cc11f083a1005056b5170a">'Данные бюджета'!$G$67</definedName>
    <definedName name="СП_20270501_e21f8f63c7d711f083a1005056b5170a">'Данные бюджета'!$G$91</definedName>
    <definedName name="СП_20270501_e47771ec94dc11ee8376005056a1be4c">'Данные бюджета'!$G$20</definedName>
    <definedName name="СП_20270501_e5e5c84ec7d811f083a1005056b5170a">'Данные бюджета'!$G$100</definedName>
    <definedName name="СП_20270501_e7dd9c1c94db11ee8376005056a1be4c">'Данные бюджета'!$G$59</definedName>
    <definedName name="СП_20270501_eaf11e23c85911f083a1005056b5170a">'Данные бюджета'!$G$135</definedName>
    <definedName name="СП_20270501_ec74db8b1d5011f183c7005056b5170a">'Данные бюджета'!$G$125</definedName>
    <definedName name="СП_20270501_eda9216ec7cc11f083a1005056b5170a">'Данные бюджета'!$G$68</definedName>
    <definedName name="СП_20270501_f15872d1c7d811f083a1005056b5170a">'Данные бюджета'!$G$101</definedName>
    <definedName name="СП_20270501_f3278a99c7a711f083a1005056b5170a">'Данные бюджета'!$G$19</definedName>
    <definedName name="СП_20270501_f38ae66bc7d711f083a1005056b5170a">'Данные бюджета'!$G$92</definedName>
    <definedName name="СП_20270501_f3d09913c85811f083a1005056b5170a">'Данные бюджета'!$G$126</definedName>
    <definedName name="СП_20270501_f3f3b17d1d4911f183c7005056b5170a">'Данные бюджета'!$G$136</definedName>
    <definedName name="СП_20270501_f6bf7d1ec7b411f083a1005056b5170a">'Данные бюджета'!$G$44</definedName>
    <definedName name="СП_20270501_f8b81fd3c7cd11f1863a005056b5e863">'Данные бюджета'!$G$5</definedName>
    <definedName name="СП_20270501_f8b81fd4c7cd11f1863a005056b5e863">'Данные бюджета'!$G$6</definedName>
    <definedName name="СП_20270501_f8b81fd7c7cd11f1863a005056b5e863">'Данные бюджета'!$G$8</definedName>
    <definedName name="СП_20270501_f8b81fdfc7cd11f1863a005056b5e863">'Данные бюджета'!$G$17</definedName>
    <definedName name="СП_20270501_f8b81ffcc7cd11f1863a005056b5e863">'Данные бюджета'!$G$30</definedName>
    <definedName name="СП_20270501_f8b81ffdc7cd11f1863a005056b5e863">'Данные бюджета'!$G$103</definedName>
    <definedName name="СП_20270501_f8b82002c7cd11f1863a005056b5e863">'Данные бюджета'!$G$58</definedName>
    <definedName name="СП_20270501_f8b82007c7cd11f1863a005056b5e863">'Данные бюджета'!$G$38</definedName>
    <definedName name="СП_20270501_f92069c8c84711f083a1005056b5170a">'Данные бюджета'!$G$121</definedName>
    <definedName name="СП_20270501_f9883edd0bfd11f183c6005056b5170a">'Данные бюджета'!$G$28</definedName>
    <definedName name="СП_20270501_fc80b55ac7cc11f083a1005056b5170a">'Данные бюджета'!$G$69</definedName>
    <definedName name="СП_20270501_fdbd26b794dc11ee8376005056a1be4c">'Данные бюджета'!$G$112</definedName>
    <definedName name="СП_20270501_feb6a2a0c7cd11f1863a005056b5e863">'Данные бюджета'!$G$31</definedName>
    <definedName name="СП_20270501_feb6a2a7c7cd11f1863a005056b5e863">'Данные бюджета'!$G$63</definedName>
    <definedName name="СП_20270501_feb6a2afc7cd11f1863a005056b5e863">'Данные бюджета'!$G$71</definedName>
    <definedName name="СП_20270501_feb6a2e0c7cd11f1863a005056b5e863">'Данные бюджета'!$G$81</definedName>
    <definedName name="СП_20270501_feb6a30bc7cd11f1863a005056b5e863">'Данные бюджета'!$G$85</definedName>
    <definedName name="СП_20270501_feb6a310c7cd11f1863a005056b5e863">'Данные бюджета'!$G$90</definedName>
    <definedName name="СП_20270501_feb6a316c7cd11f1863a005056b5e863">'Данные бюджета'!$G$96</definedName>
    <definedName name="СП_20270501_feb6a31dc7cd11f1863a005056b5e863">'Данные бюджета'!$G$109</definedName>
    <definedName name="СП_20270501_feb6a325c7cd11f1863a005056b5e863">'Данные бюджета'!$G$117</definedName>
    <definedName name="СП_20270501_feb6a328c7cd11f1863a005056b5e863">'Данные бюджета'!$G$120</definedName>
    <definedName name="СП_20270501_feb6a32bc7cd11f1863a005056b5e863">'Данные бюджета'!$G$123</definedName>
    <definedName name="СП_20270501_feb6a332c7cd11f1863a005056b5e863">'Данные бюджета'!$G$130</definedName>
    <definedName name="СП_20270501_feb6a339c7cd11f1863a005056b5e863">'Данные бюджета'!$G$137</definedName>
    <definedName name="СП_20270501_feb6a33dc7cd11f1863a005056b5e863">'Данные бюджета'!$G$141</definedName>
    <definedName name="СП_20270501_ffc1afcac85811f083a1005056b5170a">'Данные бюджета'!$G$128</definedName>
    <definedName name="СП_20270601_018a9487c7b411f083a1005056b5170a">'Данные бюджета'!$H$40</definedName>
    <definedName name="СП_20270601_036681dbc84811f083a1005056b5170a">'Данные бюджета'!$H$122</definedName>
    <definedName name="СП_20270601_03e74c0fc7d911f083a1005056b5170a">'Данные бюджета'!$H$102</definedName>
    <definedName name="СП_20270601_05104b79c7a811f083a1005056b5170a">'Данные бюджета'!$H$21</definedName>
    <definedName name="СП_20270601_0bb19101c85911f083a1005056b5170a">'Данные бюджета'!$H$129</definedName>
    <definedName name="СП_20270601_0db71d62c84611f083a1005056b5170a">'Данные бюджета'!$H$114</definedName>
    <definedName name="СП_20270601_1421d8301d4811f183c7005056b5170a">'Данные бюджета'!$H$23</definedName>
    <definedName name="СП_20270601_163680a8c7d611f083a1005056b5170a">'Данные бюджета'!$H$73</definedName>
    <definedName name="СП_20270601_16fb1a53c7a811f083a1005056b5170a">'Данные бюджета'!$H$22</definedName>
    <definedName name="СП_20270601_184a45cfc7d711f083a1005056b5170a">'Данные бюджета'!$H$86</definedName>
    <definedName name="СП_20270601_196bb604c7b411f083a1005056b5170a">'Данные бюджета'!$H$41</definedName>
    <definedName name="СП_20270601_1a614068928811ee8376005056a1be4c">'Данные бюджета'!$H$14</definedName>
    <definedName name="СП_20270601_1a684706c84611f083a1005056b5170a">'Данные бюджета'!$H$115</definedName>
    <definedName name="СП_20270601_1daed84fc7b511f083a1005056b5170a">'Данные бюджета'!$H$45</definedName>
    <definedName name="СП_20270601_22a01918c7aa11f083a1005056b5170a">'Данные бюджета'!$H$32</definedName>
    <definedName name="СП_20270601_25fb3b91c7d611f083a1005056b5170a">'Данные бюджета'!$H$74</definedName>
    <definedName name="СП_20270601_271acd8d928811ee8376005056a1be4c">'Данные бюджета'!$H$10</definedName>
    <definedName name="СП_20270601_28c78a1ec7d711f083a1005056b5170a">'Данные бюджета'!$H$87</definedName>
    <definedName name="СП_20270601_2f74b944c7d811f083a1005056b5170a">'Данные бюджета'!$H$94</definedName>
    <definedName name="СП_20270601_31632d0cc7d611f083a1005056b5170a">'Данные бюджета'!$H$75</definedName>
    <definedName name="СП_20270601_33d4cd4f213211f183c7005056b5170a">'Данные бюджета'!$H$138</definedName>
    <definedName name="СП_20270601_34aab0c2990f11ef8384005056b5170a">'Данные бюджета'!$H$57</definedName>
    <definedName name="СП_20270601_355043d4c7d711f083a1005056b5170a">'Данные бюджета'!$H$88</definedName>
    <definedName name="СП_20270601_389f4057c7cb11f083a1005056b5170a">'Данные бюджета'!$H$62</definedName>
    <definedName name="СП_20270601_3a95d75e928a11ee8376005056a1be4c">'Данные бюджета'!$H$16</definedName>
    <definedName name="СП_20270601_3bd8087fc7d611f083a1005056b5170a">'Данные бюджета'!$H$76</definedName>
    <definedName name="СП_20270601_3c712981dfb011e982ef005056a1be4c">'Данные бюджета'!$H$108</definedName>
    <definedName name="СП_20270601_3f2ff9d6a5b011ef8384005056b5170a">'Данные бюджета'!$H$93</definedName>
    <definedName name="СП_20270601_445c2761c7b511f083a1005056b5170a">'Данные бюджета'!$H$46</definedName>
    <definedName name="СП_20270601_4613411b213211f183c7005056b5170a">'Данные бюджета'!$H$140</definedName>
    <definedName name="СП_20270601_46829e96c7d711f083a1005056b5170a">'Данные бюджета'!$H$89</definedName>
    <definedName name="СП_20270601_477830aa94da11ee8376005056a1be4c">'Данные бюджета'!$H$55</definedName>
    <definedName name="СП_20270601_483ec6637b9911f18638005056b5e863">'Данные бюджета'!$H$139</definedName>
    <definedName name="СП_20270601_49fa47b0c7d611f083a1005056b5170a">'Данные бюджета'!$H$78</definedName>
    <definedName name="СП_20270601_55eb4f8fc7d611f083a1005056b5170a">'Данные бюджета'!$H$79</definedName>
    <definedName name="СП_20270601_584645171d5511f183c7005056b5170a">'Данные бюджета'!$H$24</definedName>
    <definedName name="СП_20270601_5b33182ac7b611f083a1005056b5170a">'Данные бюджета'!$H$49</definedName>
    <definedName name="СП_20270601_5e534b9ac7aa11f083a1005056b5170a">'Данные бюджета'!$H$33</definedName>
    <definedName name="СП_20270601_6244c5e8c84711f083a1005056b5170a">'Данные бюджета'!$H$118</definedName>
    <definedName name="СП_20270601_6277513ac7b711f083a1005056b5170a">'Данные бюджета'!$H$56</definedName>
    <definedName name="СП_20270601_63f6fb3ae48911f083a6005056b5170a">'Данные бюджета'!$H$36</definedName>
    <definedName name="СП_20270601_6dcdcaa9c7d611f083a1005056b5170a">'Данные бюджета'!$H$80</definedName>
    <definedName name="СП_20270601_6ec5bd18c7aa11f083a1005056b5170a">'Данные бюджета'!$H$34</definedName>
    <definedName name="СП_20270601_74e570081d4811f183c7005056b5170a">'Данные бюджета'!$H$29</definedName>
    <definedName name="СП_20270601_77e5b212695b11f18638005056b5e863">'Данные бюджета'!$H$142</definedName>
    <definedName name="СП_20270601_7c5e7d4fc7aa11f083a1005056b5170a">'Данные бюджета'!$H$35</definedName>
    <definedName name="СП_20270601_806711dd1d5511f183c7005056b5170a">'Данные бюджета'!$H$25</definedName>
    <definedName name="СП_20270601_85aa1e2d1d4f11f183c7005056b5170a">'Данные бюджета'!$H$113</definedName>
    <definedName name="СП_20270601_8e478e15c7aa11f083a1005056b5170a">'Данные бюджета'!$H$37</definedName>
    <definedName name="СП_20270601_9205e61ac7a011f083a1005056b5170a">'Данные бюджета'!$H$12</definedName>
    <definedName name="СП_20270601_93e92e58c94711f083a3005056b5170a">'Данные бюджета'!$H$111</definedName>
    <definedName name="СП_20270601_953ba8c5695b11f18638005056b5e863">'Данные бюджета'!$H$143</definedName>
    <definedName name="СП_20270601_9de962cac84711f083a1005056b5170a">'Данные бюджета'!$H$119</definedName>
    <definedName name="СП_20270601_9e642f621d4f11f183c7005056b5170a">'Данные бюджета'!$H$116</definedName>
    <definedName name="СП_20270601_a477ec4f545211f183c8005056b5170a">'Данные бюджета'!$H$27</definedName>
    <definedName name="СП_20270601_aa40973a1d4a11f183c7005056b5170a">'Данные бюджета'!$H$95</definedName>
    <definedName name="СП_20270601_ab1ef3c9c7cc11f083a1005056b5170a">'Данные бюджета'!$H$64</definedName>
    <definedName name="СП_20270601_ab6bfd2cc7d811f083a1005056b5170a">'Данные бюджета'!$H$97</definedName>
    <definedName name="СП_20270601_b1def38f1d5511f183c7005056b5170a">'Данные бюджета'!$H$26</definedName>
    <definedName name="СП_20270601_b3b0d47f1d5011f183c7005056b5170a">'Данные бюджета'!$H$127</definedName>
    <definedName name="СП_20270601_b414fc5ac85811f083a1005056b5170a">'Данные бюджета'!$H$124</definedName>
    <definedName name="СП_20270601_b438366e4cd911e680db005056a1088b">'Данные бюджета'!$H$11</definedName>
    <definedName name="СП_20270601_b4431256c7a611f083a1005056b5170a">'Данные бюджета'!$H$18</definedName>
    <definedName name="СП_20270601_bc7a7d01c7d811f083a1005056b5170a">'Данные бюджета'!$H$98</definedName>
    <definedName name="СП_20270601_be8eb25fc7cc11f083a1005056b5170a">'Данные бюджета'!$H$65</definedName>
    <definedName name="СП_20270601_bf6525441d5111f183c7005056b5170a">'Данные бюджета'!$H$131</definedName>
    <definedName name="СП_20270601_c0422569c7d611f083a1005056b5170a">'Данные бюджета'!$H$82</definedName>
    <definedName name="СП_20270601_c4d393ccc85911f083a1005056b5170a">'Данные бюджета'!$H$132</definedName>
    <definedName name="СП_20270601_c64e660926bd11f183c7005056b5170a">'Данные бюджета'!$H$77</definedName>
    <definedName name="СП_20270601_c7add6cc6a4811e4805ad4ae526f013e">'Данные бюджета'!$H$54</definedName>
    <definedName name="СП_20270601_c7add6cd6a4811e4805ad4ae526f013e">'Данные бюджета'!$H$107</definedName>
    <definedName name="СП_20270601_c7add6d06a4811e4805ad4ae526f013e">'Данные бюджета'!$H$43</definedName>
    <definedName name="СП_20270601_c7add6d26a4811e4805ad4ae526f013e">'Данные бюджета'!$H$48</definedName>
    <definedName name="СП_20270601_c7add6d36a4811e4805ad4ae526f013e">'Данные бюджета'!$H$47</definedName>
    <definedName name="СП_20270601_c7add6d46a4811e4805ad4ae526f013e">'Данные бюджета'!$H$42</definedName>
    <definedName name="СП_20270601_c7add6d76a4811e4805ad4ae526f013e">'Данные бюджета'!$H$39</definedName>
    <definedName name="СП_20270601_c7add6ea6a4811e4805ad4ae526f013e">'Данные бюджета'!$H$7</definedName>
    <definedName name="СП_20270601_c7add6ed6a4811e4805ad4ae526f013e">'Данные бюджета'!$H$9</definedName>
    <definedName name="СП_20270601_c7add6f66a4811e4805ad4ae526f013e">'Данные бюджета'!$H$15</definedName>
    <definedName name="СП_20270601_c7add6f76a4811e4805ad4ae526f013e">'Данные бюджета'!$H$13</definedName>
    <definedName name="СП_20270601_c7add6ff6a4811e4805ad4ae526f013e">'Данные бюджета'!$H$104</definedName>
    <definedName name="СП_20270601_c7add7016a4811e4805ad4ae526f013e">'Данные бюджета'!$H$106</definedName>
    <definedName name="СП_20270601_c7add7026a4811e4805ad4ae526f013e">'Данные бюджета'!$H$105</definedName>
    <definedName name="СП_20270601_c7add7046a4811e4805ad4ae526f013e">'Данные бюджета'!$H$52</definedName>
    <definedName name="СП_20270601_c7add7056a4811e4805ad4ae526f013e">'Данные бюджета'!$H$50</definedName>
    <definedName name="СП_20270601_c7add7066a4811e4805ad4ae526f013e">'Данные бюджета'!$H$53</definedName>
    <definedName name="СП_20270601_c7add7076a4811e4805ad4ae526f013e">'Данные бюджета'!$H$61</definedName>
    <definedName name="СП_20270601_c7add7266a4811e4805ad4ae526f013e">'Данные бюджета'!$H$51</definedName>
    <definedName name="СП_20270601_cc91985fc7d811f083a1005056b5170a">'Данные бюджета'!$H$99</definedName>
    <definedName name="СП_20270601_ccbf0ec5c7cc11f083a1005056b5170a">'Данные бюджета'!$H$66</definedName>
    <definedName name="СП_20270601_ce12a12494db11ee8376005056a1be4c">'Данные бюджета'!$H$60</definedName>
    <definedName name="СП_20270601_d0ff26e8c84511f083a1005056b5170a">'Данные бюджета'!$H$110</definedName>
    <definedName name="СП_20270601_d1196183c7d611f083a1005056b5170a">'Данные бюджета'!$H$83</definedName>
    <definedName name="СП_20270601_d450ad9cc84311f083a1005056b5170a">'Данные бюджета'!$H$134</definedName>
    <definedName name="СП_20270601_d56e8e951d4911f183c7005056b5170a">'Данные бюджета'!$H$70</definedName>
    <definedName name="СП_20270601_d9a415b3c7d611f083a1005056b5170a">'Данные бюджета'!$H$84</definedName>
    <definedName name="СП_20270601_dc23c215c7d511f083a1005056b5170a">'Данные бюджета'!$H$72</definedName>
    <definedName name="СП_20270601_de2933d4c85911f083a1005056b5170a">'Данные бюджета'!$H$133</definedName>
    <definedName name="СП_20270601_e0d93d37c7cc11f083a1005056b5170a">'Данные бюджета'!$H$67</definedName>
    <definedName name="СП_20270601_e21f8f63c7d711f083a1005056b5170a">'Данные бюджета'!$H$91</definedName>
    <definedName name="СП_20270601_e47771ec94dc11ee8376005056a1be4c">'Данные бюджета'!$H$20</definedName>
    <definedName name="СП_20270601_e5e5c84ec7d811f083a1005056b5170a">'Данные бюджета'!$H$100</definedName>
    <definedName name="СП_20270601_e7dd9c1c94db11ee8376005056a1be4c">'Данные бюджета'!$H$59</definedName>
    <definedName name="СП_20270601_eaf11e23c85911f083a1005056b5170a">'Данные бюджета'!$H$135</definedName>
    <definedName name="СП_20270601_ec74db8b1d5011f183c7005056b5170a">'Данные бюджета'!$H$125</definedName>
    <definedName name="СП_20270601_eda9216ec7cc11f083a1005056b5170a">'Данные бюджета'!$H$68</definedName>
    <definedName name="СП_20270601_f15872d1c7d811f083a1005056b5170a">'Данные бюджета'!$H$101</definedName>
    <definedName name="СП_20270601_f3278a99c7a711f083a1005056b5170a">'Данные бюджета'!$H$19</definedName>
    <definedName name="СП_20270601_f38ae66bc7d711f083a1005056b5170a">'Данные бюджета'!$H$92</definedName>
    <definedName name="СП_20270601_f3d09913c85811f083a1005056b5170a">'Данные бюджета'!$H$126</definedName>
    <definedName name="СП_20270601_f3f3b17d1d4911f183c7005056b5170a">'Данные бюджета'!$H$136</definedName>
    <definedName name="СП_20270601_f6bf7d1ec7b411f083a1005056b5170a">'Данные бюджета'!$H$44</definedName>
    <definedName name="СП_20270601_f8b81fd3c7cd11f1863a005056b5e863">'Данные бюджета'!$H$5</definedName>
    <definedName name="СП_20270601_f8b81fd4c7cd11f1863a005056b5e863">'Данные бюджета'!$H$6</definedName>
    <definedName name="СП_20270601_f8b81fd7c7cd11f1863a005056b5e863">'Данные бюджета'!$H$8</definedName>
    <definedName name="СП_20270601_f8b81fdfc7cd11f1863a005056b5e863">'Данные бюджета'!$H$17</definedName>
    <definedName name="СП_20270601_f8b81ffcc7cd11f1863a005056b5e863">'Данные бюджета'!$H$30</definedName>
    <definedName name="СП_20270601_f8b81ffdc7cd11f1863a005056b5e863">'Данные бюджета'!$H$103</definedName>
    <definedName name="СП_20270601_f8b82002c7cd11f1863a005056b5e863">'Данные бюджета'!$H$58</definedName>
    <definedName name="СП_20270601_f8b82007c7cd11f1863a005056b5e863">'Данные бюджета'!$H$38</definedName>
    <definedName name="СП_20270601_f92069c8c84711f083a1005056b5170a">'Данные бюджета'!$H$121</definedName>
    <definedName name="СП_20270601_f9883edd0bfd11f183c6005056b5170a">'Данные бюджета'!$H$28</definedName>
    <definedName name="СП_20270601_fc80b55ac7cc11f083a1005056b5170a">'Данные бюджета'!$H$69</definedName>
    <definedName name="СП_20270601_fdbd26b794dc11ee8376005056a1be4c">'Данные бюджета'!$H$112</definedName>
    <definedName name="СП_20270601_feb6a2a0c7cd11f1863a005056b5e863">'Данные бюджета'!$H$31</definedName>
    <definedName name="СП_20270601_feb6a2a7c7cd11f1863a005056b5e863">'Данные бюджета'!$H$63</definedName>
    <definedName name="СП_20270601_feb6a2afc7cd11f1863a005056b5e863">'Данные бюджета'!$H$71</definedName>
    <definedName name="СП_20270601_feb6a2e0c7cd11f1863a005056b5e863">'Данные бюджета'!$H$81</definedName>
    <definedName name="СП_20270601_feb6a30bc7cd11f1863a005056b5e863">'Данные бюджета'!$H$85</definedName>
    <definedName name="СП_20270601_feb6a310c7cd11f1863a005056b5e863">'Данные бюджета'!$H$90</definedName>
    <definedName name="СП_20270601_feb6a316c7cd11f1863a005056b5e863">'Данные бюджета'!$H$96</definedName>
    <definedName name="СП_20270601_feb6a31dc7cd11f1863a005056b5e863">'Данные бюджета'!$H$109</definedName>
    <definedName name="СП_20270601_feb6a325c7cd11f1863a005056b5e863">'Данные бюджета'!$H$117</definedName>
    <definedName name="СП_20270601_feb6a328c7cd11f1863a005056b5e863">'Данные бюджета'!$H$120</definedName>
    <definedName name="СП_20270601_feb6a32bc7cd11f1863a005056b5e863">'Данные бюджета'!$H$123</definedName>
    <definedName name="СП_20270601_feb6a332c7cd11f1863a005056b5e863">'Данные бюджета'!$H$130</definedName>
    <definedName name="СП_20270601_feb6a339c7cd11f1863a005056b5e863">'Данные бюджета'!$H$137</definedName>
    <definedName name="СП_20270601_feb6a33dc7cd11f1863a005056b5e863">'Данные бюджета'!$H$141</definedName>
    <definedName name="СП_20270601_ffc1afcac85811f083a1005056b5170a">'Данные бюджета'!$H$128</definedName>
    <definedName name="СП_20270701_018a9487c7b411f083a1005056b5170a">'Данные бюджета'!$I$40</definedName>
    <definedName name="СП_20270701_036681dbc84811f083a1005056b5170a">'Данные бюджета'!$I$122</definedName>
    <definedName name="СП_20270701_03e74c0fc7d911f083a1005056b5170a">'Данные бюджета'!$I$102</definedName>
    <definedName name="СП_20270701_05104b79c7a811f083a1005056b5170a">'Данные бюджета'!$I$21</definedName>
    <definedName name="СП_20270701_0bb19101c85911f083a1005056b5170a">'Данные бюджета'!$I$129</definedName>
    <definedName name="СП_20270701_0db71d62c84611f083a1005056b5170a">'Данные бюджета'!$I$114</definedName>
    <definedName name="СП_20270701_1421d8301d4811f183c7005056b5170a">'Данные бюджета'!$I$23</definedName>
    <definedName name="СП_20270701_163680a8c7d611f083a1005056b5170a">'Данные бюджета'!$I$73</definedName>
    <definedName name="СП_20270701_16fb1a53c7a811f083a1005056b5170a">'Данные бюджета'!$I$22</definedName>
    <definedName name="СП_20270701_184a45cfc7d711f083a1005056b5170a">'Данные бюджета'!$I$86</definedName>
    <definedName name="СП_20270701_196bb604c7b411f083a1005056b5170a">'Данные бюджета'!$I$41</definedName>
    <definedName name="СП_20270701_1a614068928811ee8376005056a1be4c">'Данные бюджета'!$I$14</definedName>
    <definedName name="СП_20270701_1a684706c84611f083a1005056b5170a">'Данные бюджета'!$I$115</definedName>
    <definedName name="СП_20270701_1daed84fc7b511f083a1005056b5170a">'Данные бюджета'!$I$45</definedName>
    <definedName name="СП_20270701_22a01918c7aa11f083a1005056b5170a">'Данные бюджета'!$I$32</definedName>
    <definedName name="СП_20270701_25fb3b91c7d611f083a1005056b5170a">'Данные бюджета'!$I$74</definedName>
    <definedName name="СП_20270701_271acd8d928811ee8376005056a1be4c">'Данные бюджета'!$I$10</definedName>
    <definedName name="СП_20270701_28c78a1ec7d711f083a1005056b5170a">'Данные бюджета'!$I$87</definedName>
    <definedName name="СП_20270701_2f74b944c7d811f083a1005056b5170a">'Данные бюджета'!$I$94</definedName>
    <definedName name="СП_20270701_31632d0cc7d611f083a1005056b5170a">'Данные бюджета'!$I$75</definedName>
    <definedName name="СП_20270701_33d4cd4f213211f183c7005056b5170a">'Данные бюджета'!$I$138</definedName>
    <definedName name="СП_20270701_34aab0c2990f11ef8384005056b5170a">'Данные бюджета'!$I$57</definedName>
    <definedName name="СП_20270701_355043d4c7d711f083a1005056b5170a">'Данные бюджета'!$I$88</definedName>
    <definedName name="СП_20270701_389f4057c7cb11f083a1005056b5170a">'Данные бюджета'!$I$62</definedName>
    <definedName name="СП_20270701_3a95d75e928a11ee8376005056a1be4c">'Данные бюджета'!$I$16</definedName>
    <definedName name="СП_20270701_3bd8087fc7d611f083a1005056b5170a">'Данные бюджета'!$I$76</definedName>
    <definedName name="СП_20270701_3c712981dfb011e982ef005056a1be4c">'Данные бюджета'!$I$108</definedName>
    <definedName name="СП_20270701_3f2ff9d6a5b011ef8384005056b5170a">'Данные бюджета'!$I$93</definedName>
    <definedName name="СП_20270701_445c2761c7b511f083a1005056b5170a">'Данные бюджета'!$I$46</definedName>
    <definedName name="СП_20270701_4613411b213211f183c7005056b5170a">'Данные бюджета'!$I$140</definedName>
    <definedName name="СП_20270701_46829e96c7d711f083a1005056b5170a">'Данные бюджета'!$I$89</definedName>
    <definedName name="СП_20270701_477830aa94da11ee8376005056a1be4c">'Данные бюджета'!$I$55</definedName>
    <definedName name="СП_20270701_483ec6637b9911f18638005056b5e863">'Данные бюджета'!$I$139</definedName>
    <definedName name="СП_20270701_49fa47b0c7d611f083a1005056b5170a">'Данные бюджета'!$I$78</definedName>
    <definedName name="СП_20270701_55eb4f8fc7d611f083a1005056b5170a">'Данные бюджета'!$I$79</definedName>
    <definedName name="СП_20270701_584645171d5511f183c7005056b5170a">'Данные бюджета'!$I$24</definedName>
    <definedName name="СП_20270701_5b33182ac7b611f083a1005056b5170a">'Данные бюджета'!$I$49</definedName>
    <definedName name="СП_20270701_5e534b9ac7aa11f083a1005056b5170a">'Данные бюджета'!$I$33</definedName>
    <definedName name="СП_20270701_6244c5e8c84711f083a1005056b5170a">'Данные бюджета'!$I$118</definedName>
    <definedName name="СП_20270701_6277513ac7b711f083a1005056b5170a">'Данные бюджета'!$I$56</definedName>
    <definedName name="СП_20270701_63f6fb3ae48911f083a6005056b5170a">'Данные бюджета'!$I$36</definedName>
    <definedName name="СП_20270701_6dcdcaa9c7d611f083a1005056b5170a">'Данные бюджета'!$I$80</definedName>
    <definedName name="СП_20270701_6ec5bd18c7aa11f083a1005056b5170a">'Данные бюджета'!$I$34</definedName>
    <definedName name="СП_20270701_74e570081d4811f183c7005056b5170a">'Данные бюджета'!$I$29</definedName>
    <definedName name="СП_20270701_77e5b212695b11f18638005056b5e863">'Данные бюджета'!$I$142</definedName>
    <definedName name="СП_20270701_7c5e7d4fc7aa11f083a1005056b5170a">'Данные бюджета'!$I$35</definedName>
    <definedName name="СП_20270701_806711dd1d5511f183c7005056b5170a">'Данные бюджета'!$I$25</definedName>
    <definedName name="СП_20270701_85aa1e2d1d4f11f183c7005056b5170a">'Данные бюджета'!$I$113</definedName>
    <definedName name="СП_20270701_8e478e15c7aa11f083a1005056b5170a">'Данные бюджета'!$I$37</definedName>
    <definedName name="СП_20270701_9205e61ac7a011f083a1005056b5170a">'Данные бюджета'!$I$12</definedName>
    <definedName name="СП_20270701_93e92e58c94711f083a3005056b5170a">'Данные бюджета'!$I$111</definedName>
    <definedName name="СП_20270701_953ba8c5695b11f18638005056b5e863">'Данные бюджета'!$I$143</definedName>
    <definedName name="СП_20270701_9de962cac84711f083a1005056b5170a">'Данные бюджета'!$I$119</definedName>
    <definedName name="СП_20270701_9e642f621d4f11f183c7005056b5170a">'Данные бюджета'!$I$116</definedName>
    <definedName name="СП_20270701_a477ec4f545211f183c8005056b5170a">'Данные бюджета'!$I$27</definedName>
    <definedName name="СП_20270701_aa40973a1d4a11f183c7005056b5170a">'Данные бюджета'!$I$95</definedName>
    <definedName name="СП_20270701_ab1ef3c9c7cc11f083a1005056b5170a">'Данные бюджета'!$I$64</definedName>
    <definedName name="СП_20270701_ab6bfd2cc7d811f083a1005056b5170a">'Данные бюджета'!$I$97</definedName>
    <definedName name="СП_20270701_b1def38f1d5511f183c7005056b5170a">'Данные бюджета'!$I$26</definedName>
    <definedName name="СП_20270701_b3b0d47f1d5011f183c7005056b5170a">'Данные бюджета'!$I$127</definedName>
    <definedName name="СП_20270701_b414fc5ac85811f083a1005056b5170a">'Данные бюджета'!$I$124</definedName>
    <definedName name="СП_20270701_b438366e4cd911e680db005056a1088b">'Данные бюджета'!$I$11</definedName>
    <definedName name="СП_20270701_b4431256c7a611f083a1005056b5170a">'Данные бюджета'!$I$18</definedName>
    <definedName name="СП_20270701_bc7a7d01c7d811f083a1005056b5170a">'Данные бюджета'!$I$98</definedName>
    <definedName name="СП_20270701_be8eb25fc7cc11f083a1005056b5170a">'Данные бюджета'!$I$65</definedName>
    <definedName name="СП_20270701_bf6525441d5111f183c7005056b5170a">'Данные бюджета'!$I$131</definedName>
    <definedName name="СП_20270701_c0422569c7d611f083a1005056b5170a">'Данные бюджета'!$I$82</definedName>
    <definedName name="СП_20270701_c4d393ccc85911f083a1005056b5170a">'Данные бюджета'!$I$132</definedName>
    <definedName name="СП_20270701_c64e660926bd11f183c7005056b5170a">'Данные бюджета'!$I$77</definedName>
    <definedName name="СП_20270701_c7add6cc6a4811e4805ad4ae526f013e">'Данные бюджета'!$I$54</definedName>
    <definedName name="СП_20270701_c7add6cd6a4811e4805ad4ae526f013e">'Данные бюджета'!$I$107</definedName>
    <definedName name="СП_20270701_c7add6d06a4811e4805ad4ae526f013e">'Данные бюджета'!$I$43</definedName>
    <definedName name="СП_20270701_c7add6d26a4811e4805ad4ae526f013e">'Данные бюджета'!$I$48</definedName>
    <definedName name="СП_20270701_c7add6d36a4811e4805ad4ae526f013e">'Данные бюджета'!$I$47</definedName>
    <definedName name="СП_20270701_c7add6d46a4811e4805ad4ae526f013e">'Данные бюджета'!$I$42</definedName>
    <definedName name="СП_20270701_c7add6d76a4811e4805ad4ae526f013e">'Данные бюджета'!$I$39</definedName>
    <definedName name="СП_20270701_c7add6ea6a4811e4805ad4ae526f013e">'Данные бюджета'!$I$7</definedName>
    <definedName name="СП_20270701_c7add6ed6a4811e4805ad4ae526f013e">'Данные бюджета'!$I$9</definedName>
    <definedName name="СП_20270701_c7add6f66a4811e4805ad4ae526f013e">'Данные бюджета'!$I$15</definedName>
    <definedName name="СП_20270701_c7add6f76a4811e4805ad4ae526f013e">'Данные бюджета'!$I$13</definedName>
    <definedName name="СП_20270701_c7add6ff6a4811e4805ad4ae526f013e">'Данные бюджета'!$I$104</definedName>
    <definedName name="СП_20270701_c7add7016a4811e4805ad4ae526f013e">'Данные бюджета'!$I$106</definedName>
    <definedName name="СП_20270701_c7add7026a4811e4805ad4ae526f013e">'Данные бюджета'!$I$105</definedName>
    <definedName name="СП_20270701_c7add7046a4811e4805ad4ae526f013e">'Данные бюджета'!$I$52</definedName>
    <definedName name="СП_20270701_c7add7056a4811e4805ad4ae526f013e">'Данные бюджета'!$I$50</definedName>
    <definedName name="СП_20270701_c7add7066a4811e4805ad4ae526f013e">'Данные бюджета'!$I$53</definedName>
    <definedName name="СП_20270701_c7add7076a4811e4805ad4ae526f013e">'Данные бюджета'!$I$61</definedName>
    <definedName name="СП_20270701_c7add7266a4811e4805ad4ae526f013e">'Данные бюджета'!$I$51</definedName>
    <definedName name="СП_20270701_cc91985fc7d811f083a1005056b5170a">'Данные бюджета'!$I$99</definedName>
    <definedName name="СП_20270701_ccbf0ec5c7cc11f083a1005056b5170a">'Данные бюджета'!$I$66</definedName>
    <definedName name="СП_20270701_ce12a12494db11ee8376005056a1be4c">'Данные бюджета'!$I$60</definedName>
    <definedName name="СП_20270701_d0ff26e8c84511f083a1005056b5170a">'Данные бюджета'!$I$110</definedName>
    <definedName name="СП_20270701_d1196183c7d611f083a1005056b5170a">'Данные бюджета'!$I$83</definedName>
    <definedName name="СП_20270701_d450ad9cc84311f083a1005056b5170a">'Данные бюджета'!$I$134</definedName>
    <definedName name="СП_20270701_d56e8e951d4911f183c7005056b5170a">'Данные бюджета'!$I$70</definedName>
    <definedName name="СП_20270701_d9a415b3c7d611f083a1005056b5170a">'Данные бюджета'!$I$84</definedName>
    <definedName name="СП_20270701_dc23c215c7d511f083a1005056b5170a">'Данные бюджета'!$I$72</definedName>
    <definedName name="СП_20270701_de2933d4c85911f083a1005056b5170a">'Данные бюджета'!$I$133</definedName>
    <definedName name="СП_20270701_e0d93d37c7cc11f083a1005056b5170a">'Данные бюджета'!$I$67</definedName>
    <definedName name="СП_20270701_e21f8f63c7d711f083a1005056b5170a">'Данные бюджета'!$I$91</definedName>
    <definedName name="СП_20270701_e47771ec94dc11ee8376005056a1be4c">'Данные бюджета'!$I$20</definedName>
    <definedName name="СП_20270701_e5e5c84ec7d811f083a1005056b5170a">'Данные бюджета'!$I$100</definedName>
    <definedName name="СП_20270701_e7dd9c1c94db11ee8376005056a1be4c">'Данные бюджета'!$I$59</definedName>
    <definedName name="СП_20270701_eaf11e23c85911f083a1005056b5170a">'Данные бюджета'!$I$135</definedName>
    <definedName name="СП_20270701_ec74db8b1d5011f183c7005056b5170a">'Данные бюджета'!$I$125</definedName>
    <definedName name="СП_20270701_eda9216ec7cc11f083a1005056b5170a">'Данные бюджета'!$I$68</definedName>
    <definedName name="СП_20270701_f15872d1c7d811f083a1005056b5170a">'Данные бюджета'!$I$101</definedName>
    <definedName name="СП_20270701_f3278a99c7a711f083a1005056b5170a">'Данные бюджета'!$I$19</definedName>
    <definedName name="СП_20270701_f38ae66bc7d711f083a1005056b5170a">'Данные бюджета'!$I$92</definedName>
    <definedName name="СП_20270701_f3d09913c85811f083a1005056b5170a">'Данные бюджета'!$I$126</definedName>
    <definedName name="СП_20270701_f3f3b17d1d4911f183c7005056b5170a">'Данные бюджета'!$I$136</definedName>
    <definedName name="СП_20270701_f6bf7d1ec7b411f083a1005056b5170a">'Данные бюджета'!$I$44</definedName>
    <definedName name="СП_20270701_f8b81fd3c7cd11f1863a005056b5e863">'Данные бюджета'!$I$5</definedName>
    <definedName name="СП_20270701_f8b81fd4c7cd11f1863a005056b5e863">'Данные бюджета'!$I$6</definedName>
    <definedName name="СП_20270701_f8b81fd7c7cd11f1863a005056b5e863">'Данные бюджета'!$I$8</definedName>
    <definedName name="СП_20270701_f8b81fdfc7cd11f1863a005056b5e863">'Данные бюджета'!$I$17</definedName>
    <definedName name="СП_20270701_f8b81ffcc7cd11f1863a005056b5e863">'Данные бюджета'!$I$30</definedName>
    <definedName name="СП_20270701_f8b81ffdc7cd11f1863a005056b5e863">'Данные бюджета'!$I$103</definedName>
    <definedName name="СП_20270701_f8b82002c7cd11f1863a005056b5e863">'Данные бюджета'!$I$58</definedName>
    <definedName name="СП_20270701_f8b82007c7cd11f1863a005056b5e863">'Данные бюджета'!$I$38</definedName>
    <definedName name="СП_20270701_f92069c8c84711f083a1005056b5170a">'Данные бюджета'!$I$121</definedName>
    <definedName name="СП_20270701_f9883edd0bfd11f183c6005056b5170a">'Данные бюджета'!$I$28</definedName>
    <definedName name="СП_20270701_fc80b55ac7cc11f083a1005056b5170a">'Данные бюджета'!$I$69</definedName>
    <definedName name="СП_20270701_fdbd26b794dc11ee8376005056a1be4c">'Данные бюджета'!$I$112</definedName>
    <definedName name="СП_20270701_feb6a2a0c7cd11f1863a005056b5e863">'Данные бюджета'!$I$31</definedName>
    <definedName name="СП_20270701_feb6a2a7c7cd11f1863a005056b5e863">'Данные бюджета'!$I$63</definedName>
    <definedName name="СП_20270701_feb6a2afc7cd11f1863a005056b5e863">'Данные бюджета'!$I$71</definedName>
    <definedName name="СП_20270701_feb6a2e0c7cd11f1863a005056b5e863">'Данные бюджета'!$I$81</definedName>
    <definedName name="СП_20270701_feb6a30bc7cd11f1863a005056b5e863">'Данные бюджета'!$I$85</definedName>
    <definedName name="СП_20270701_feb6a310c7cd11f1863a005056b5e863">'Данные бюджета'!$I$90</definedName>
    <definedName name="СП_20270701_feb6a316c7cd11f1863a005056b5e863">'Данные бюджета'!$I$96</definedName>
    <definedName name="СП_20270701_feb6a31dc7cd11f1863a005056b5e863">'Данные бюджета'!$I$109</definedName>
    <definedName name="СП_20270701_feb6a325c7cd11f1863a005056b5e863">'Данные бюджета'!$I$117</definedName>
    <definedName name="СП_20270701_feb6a328c7cd11f1863a005056b5e863">'Данные бюджета'!$I$120</definedName>
    <definedName name="СП_20270701_feb6a32bc7cd11f1863a005056b5e863">'Данные бюджета'!$I$123</definedName>
    <definedName name="СП_20270701_feb6a332c7cd11f1863a005056b5e863">'Данные бюджета'!$I$130</definedName>
    <definedName name="СП_20270701_feb6a339c7cd11f1863a005056b5e863">'Данные бюджета'!$I$137</definedName>
    <definedName name="СП_20270701_feb6a33dc7cd11f1863a005056b5e863">'Данные бюджета'!$I$141</definedName>
    <definedName name="СП_20270701_ffc1afcac85811f083a1005056b5170a">'Данные бюджета'!$I$128</definedName>
    <definedName name="СП_20270801_018a9487c7b411f083a1005056b5170a">'Данные бюджета'!$J$40</definedName>
    <definedName name="СП_20270801_036681dbc84811f083a1005056b5170a">'Данные бюджета'!$J$122</definedName>
    <definedName name="СП_20270801_03e74c0fc7d911f083a1005056b5170a">'Данные бюджета'!$J$102</definedName>
    <definedName name="СП_20270801_05104b79c7a811f083a1005056b5170a">'Данные бюджета'!$J$21</definedName>
    <definedName name="СП_20270801_0bb19101c85911f083a1005056b5170a">'Данные бюджета'!$J$129</definedName>
    <definedName name="СП_20270801_0db71d62c84611f083a1005056b5170a">'Данные бюджета'!$J$114</definedName>
    <definedName name="СП_20270801_1421d8301d4811f183c7005056b5170a">'Данные бюджета'!$J$23</definedName>
    <definedName name="СП_20270801_163680a8c7d611f083a1005056b5170a">'Данные бюджета'!$J$73</definedName>
    <definedName name="СП_20270801_16fb1a53c7a811f083a1005056b5170a">'Данные бюджета'!$J$22</definedName>
    <definedName name="СП_20270801_184a45cfc7d711f083a1005056b5170a">'Данные бюджета'!$J$86</definedName>
    <definedName name="СП_20270801_196bb604c7b411f083a1005056b5170a">'Данные бюджета'!$J$41</definedName>
    <definedName name="СП_20270801_1a614068928811ee8376005056a1be4c">'Данные бюджета'!$J$14</definedName>
    <definedName name="СП_20270801_1a684706c84611f083a1005056b5170a">'Данные бюджета'!$J$115</definedName>
    <definedName name="СП_20270801_1daed84fc7b511f083a1005056b5170a">'Данные бюджета'!$J$45</definedName>
    <definedName name="СП_20270801_22a01918c7aa11f083a1005056b5170a">'Данные бюджета'!$J$32</definedName>
    <definedName name="СП_20270801_25fb3b91c7d611f083a1005056b5170a">'Данные бюджета'!$J$74</definedName>
    <definedName name="СП_20270801_271acd8d928811ee8376005056a1be4c">'Данные бюджета'!$J$10</definedName>
    <definedName name="СП_20270801_28c78a1ec7d711f083a1005056b5170a">'Данные бюджета'!$J$87</definedName>
    <definedName name="СП_20270801_2f74b944c7d811f083a1005056b5170a">'Данные бюджета'!$J$94</definedName>
    <definedName name="СП_20270801_31632d0cc7d611f083a1005056b5170a">'Данные бюджета'!$J$75</definedName>
    <definedName name="СП_20270801_33d4cd4f213211f183c7005056b5170a">'Данные бюджета'!$J$138</definedName>
    <definedName name="СП_20270801_34aab0c2990f11ef8384005056b5170a">'Данные бюджета'!$J$57</definedName>
    <definedName name="СП_20270801_355043d4c7d711f083a1005056b5170a">'Данные бюджета'!$J$88</definedName>
    <definedName name="СП_20270801_389f4057c7cb11f083a1005056b5170a">'Данные бюджета'!$J$62</definedName>
    <definedName name="СП_20270801_3a95d75e928a11ee8376005056a1be4c">'Данные бюджета'!$J$16</definedName>
    <definedName name="СП_20270801_3bd8087fc7d611f083a1005056b5170a">'Данные бюджета'!$J$76</definedName>
    <definedName name="СП_20270801_3c712981dfb011e982ef005056a1be4c">'Данные бюджета'!$J$108</definedName>
    <definedName name="СП_20270801_3f2ff9d6a5b011ef8384005056b5170a">'Данные бюджета'!$J$93</definedName>
    <definedName name="СП_20270801_445c2761c7b511f083a1005056b5170a">'Данные бюджета'!$J$46</definedName>
    <definedName name="СП_20270801_4613411b213211f183c7005056b5170a">'Данные бюджета'!$J$140</definedName>
    <definedName name="СП_20270801_46829e96c7d711f083a1005056b5170a">'Данные бюджета'!$J$89</definedName>
    <definedName name="СП_20270801_477830aa94da11ee8376005056a1be4c">'Данные бюджета'!$J$55</definedName>
    <definedName name="СП_20270801_483ec6637b9911f18638005056b5e863">'Данные бюджета'!$J$139</definedName>
    <definedName name="СП_20270801_49fa47b0c7d611f083a1005056b5170a">'Данные бюджета'!$J$78</definedName>
    <definedName name="СП_20270801_55eb4f8fc7d611f083a1005056b5170a">'Данные бюджета'!$J$79</definedName>
    <definedName name="СП_20270801_584645171d5511f183c7005056b5170a">'Данные бюджета'!$J$24</definedName>
    <definedName name="СП_20270801_5b33182ac7b611f083a1005056b5170a">'Данные бюджета'!$J$49</definedName>
    <definedName name="СП_20270801_5e534b9ac7aa11f083a1005056b5170a">'Данные бюджета'!$J$33</definedName>
    <definedName name="СП_20270801_6244c5e8c84711f083a1005056b5170a">'Данные бюджета'!$J$118</definedName>
    <definedName name="СП_20270801_6277513ac7b711f083a1005056b5170a">'Данные бюджета'!$J$56</definedName>
    <definedName name="СП_20270801_63f6fb3ae48911f083a6005056b5170a">'Данные бюджета'!$J$36</definedName>
    <definedName name="СП_20270801_6dcdcaa9c7d611f083a1005056b5170a">'Данные бюджета'!$J$80</definedName>
    <definedName name="СП_20270801_6ec5bd18c7aa11f083a1005056b5170a">'Данные бюджета'!$J$34</definedName>
    <definedName name="СП_20270801_74e570081d4811f183c7005056b5170a">'Данные бюджета'!$J$29</definedName>
    <definedName name="СП_20270801_77e5b212695b11f18638005056b5e863">'Данные бюджета'!$J$142</definedName>
    <definedName name="СП_20270801_7c5e7d4fc7aa11f083a1005056b5170a">'Данные бюджета'!$J$35</definedName>
    <definedName name="СП_20270801_806711dd1d5511f183c7005056b5170a">'Данные бюджета'!$J$25</definedName>
    <definedName name="СП_20270801_85aa1e2d1d4f11f183c7005056b5170a">'Данные бюджета'!$J$113</definedName>
    <definedName name="СП_20270801_8e478e15c7aa11f083a1005056b5170a">'Данные бюджета'!$J$37</definedName>
    <definedName name="СП_20270801_9205e61ac7a011f083a1005056b5170a">'Данные бюджета'!$J$12</definedName>
    <definedName name="СП_20270801_93e92e58c94711f083a3005056b5170a">'Данные бюджета'!$J$111</definedName>
    <definedName name="СП_20270801_953ba8c5695b11f18638005056b5e863">'Данные бюджета'!$J$143</definedName>
    <definedName name="СП_20270801_9de962cac84711f083a1005056b5170a">'Данные бюджета'!$J$119</definedName>
    <definedName name="СП_20270801_9e642f621d4f11f183c7005056b5170a">'Данные бюджета'!$J$116</definedName>
    <definedName name="СП_20270801_a477ec4f545211f183c8005056b5170a">'Данные бюджета'!$J$27</definedName>
    <definedName name="СП_20270801_aa40973a1d4a11f183c7005056b5170a">'Данные бюджета'!$J$95</definedName>
    <definedName name="СП_20270801_ab1ef3c9c7cc11f083a1005056b5170a">'Данные бюджета'!$J$64</definedName>
    <definedName name="СП_20270801_ab6bfd2cc7d811f083a1005056b5170a">'Данные бюджета'!$J$97</definedName>
    <definedName name="СП_20270801_b1def38f1d5511f183c7005056b5170a">'Данные бюджета'!$J$26</definedName>
    <definedName name="СП_20270801_b3b0d47f1d5011f183c7005056b5170a">'Данные бюджета'!$J$127</definedName>
    <definedName name="СП_20270801_b414fc5ac85811f083a1005056b5170a">'Данные бюджета'!$J$124</definedName>
    <definedName name="СП_20270801_b438366e4cd911e680db005056a1088b">'Данные бюджета'!$J$11</definedName>
    <definedName name="СП_20270801_b4431256c7a611f083a1005056b5170a">'Данные бюджета'!$J$18</definedName>
    <definedName name="СП_20270801_bc7a7d01c7d811f083a1005056b5170a">'Данные бюджета'!$J$98</definedName>
    <definedName name="СП_20270801_be8eb25fc7cc11f083a1005056b5170a">'Данные бюджета'!$J$65</definedName>
    <definedName name="СП_20270801_bf6525441d5111f183c7005056b5170a">'Данные бюджета'!$J$131</definedName>
    <definedName name="СП_20270801_c0422569c7d611f083a1005056b5170a">'Данные бюджета'!$J$82</definedName>
    <definedName name="СП_20270801_c4d393ccc85911f083a1005056b5170a">'Данные бюджета'!$J$132</definedName>
    <definedName name="СП_20270801_c64e660926bd11f183c7005056b5170a">'Данные бюджета'!$J$77</definedName>
    <definedName name="СП_20270801_c7add6cc6a4811e4805ad4ae526f013e">'Данные бюджета'!$J$54</definedName>
    <definedName name="СП_20270801_c7add6cd6a4811e4805ad4ae526f013e">'Данные бюджета'!$J$107</definedName>
    <definedName name="СП_20270801_c7add6d06a4811e4805ad4ae526f013e">'Данные бюджета'!$J$43</definedName>
    <definedName name="СП_20270801_c7add6d26a4811e4805ad4ae526f013e">'Данные бюджета'!$J$48</definedName>
    <definedName name="СП_20270801_c7add6d36a4811e4805ad4ae526f013e">'Данные бюджета'!$J$47</definedName>
    <definedName name="СП_20270801_c7add6d46a4811e4805ad4ae526f013e">'Данные бюджета'!$J$42</definedName>
    <definedName name="СП_20270801_c7add6d76a4811e4805ad4ae526f013e">'Данные бюджета'!$J$39</definedName>
    <definedName name="СП_20270801_c7add6ea6a4811e4805ad4ae526f013e">'Данные бюджета'!$J$7</definedName>
    <definedName name="СП_20270801_c7add6ed6a4811e4805ad4ae526f013e">'Данные бюджета'!$J$9</definedName>
    <definedName name="СП_20270801_c7add6f66a4811e4805ad4ae526f013e">'Данные бюджета'!$J$15</definedName>
    <definedName name="СП_20270801_c7add6f76a4811e4805ad4ae526f013e">'Данные бюджета'!$J$13</definedName>
    <definedName name="СП_20270801_c7add6ff6a4811e4805ad4ae526f013e">'Данные бюджета'!$J$104</definedName>
    <definedName name="СП_20270801_c7add7016a4811e4805ad4ae526f013e">'Данные бюджета'!$J$106</definedName>
    <definedName name="СП_20270801_c7add7026a4811e4805ad4ae526f013e">'Данные бюджета'!$J$105</definedName>
    <definedName name="СП_20270801_c7add7046a4811e4805ad4ae526f013e">'Данные бюджета'!$J$52</definedName>
    <definedName name="СП_20270801_c7add7056a4811e4805ad4ae526f013e">'Данные бюджета'!$J$50</definedName>
    <definedName name="СП_20270801_c7add7066a4811e4805ad4ae526f013e">'Данные бюджета'!$J$53</definedName>
    <definedName name="СП_20270801_c7add7076a4811e4805ad4ae526f013e">'Данные бюджета'!$J$61</definedName>
    <definedName name="СП_20270801_c7add7266a4811e4805ad4ae526f013e">'Данные бюджета'!$J$51</definedName>
    <definedName name="СП_20270801_cc91985fc7d811f083a1005056b5170a">'Данные бюджета'!$J$99</definedName>
    <definedName name="СП_20270801_ccbf0ec5c7cc11f083a1005056b5170a">'Данные бюджета'!$J$66</definedName>
    <definedName name="СП_20270801_ce12a12494db11ee8376005056a1be4c">'Данные бюджета'!$J$60</definedName>
    <definedName name="СП_20270801_d0ff26e8c84511f083a1005056b5170a">'Данные бюджета'!$J$110</definedName>
    <definedName name="СП_20270801_d1196183c7d611f083a1005056b5170a">'Данные бюджета'!$J$83</definedName>
    <definedName name="СП_20270801_d450ad9cc84311f083a1005056b5170a">'Данные бюджета'!$J$134</definedName>
    <definedName name="СП_20270801_d56e8e951d4911f183c7005056b5170a">'Данные бюджета'!$J$70</definedName>
    <definedName name="СП_20270801_d9a415b3c7d611f083a1005056b5170a">'Данные бюджета'!$J$84</definedName>
    <definedName name="СП_20270801_dc23c215c7d511f083a1005056b5170a">'Данные бюджета'!$J$72</definedName>
    <definedName name="СП_20270801_de2933d4c85911f083a1005056b5170a">'Данные бюджета'!$J$133</definedName>
    <definedName name="СП_20270801_e0d93d37c7cc11f083a1005056b5170a">'Данные бюджета'!$J$67</definedName>
    <definedName name="СП_20270801_e21f8f63c7d711f083a1005056b5170a">'Данные бюджета'!$J$91</definedName>
    <definedName name="СП_20270801_e47771ec94dc11ee8376005056a1be4c">'Данные бюджета'!$J$20</definedName>
    <definedName name="СП_20270801_e5e5c84ec7d811f083a1005056b5170a">'Данные бюджета'!$J$100</definedName>
    <definedName name="СП_20270801_e7dd9c1c94db11ee8376005056a1be4c">'Данные бюджета'!$J$59</definedName>
    <definedName name="СП_20270801_eaf11e23c85911f083a1005056b5170a">'Данные бюджета'!$J$135</definedName>
    <definedName name="СП_20270801_ec74db8b1d5011f183c7005056b5170a">'Данные бюджета'!$J$125</definedName>
    <definedName name="СП_20270801_eda9216ec7cc11f083a1005056b5170a">'Данные бюджета'!$J$68</definedName>
    <definedName name="СП_20270801_f15872d1c7d811f083a1005056b5170a">'Данные бюджета'!$J$101</definedName>
    <definedName name="СП_20270801_f3278a99c7a711f083a1005056b5170a">'Данные бюджета'!$J$19</definedName>
    <definedName name="СП_20270801_f38ae66bc7d711f083a1005056b5170a">'Данные бюджета'!$J$92</definedName>
    <definedName name="СП_20270801_f3d09913c85811f083a1005056b5170a">'Данные бюджета'!$J$126</definedName>
    <definedName name="СП_20270801_f3f3b17d1d4911f183c7005056b5170a">'Данные бюджета'!$J$136</definedName>
    <definedName name="СП_20270801_f6bf7d1ec7b411f083a1005056b5170a">'Данные бюджета'!$J$44</definedName>
    <definedName name="СП_20270801_f8b81fd3c7cd11f1863a005056b5e863">'Данные бюджета'!$J$5</definedName>
    <definedName name="СП_20270801_f8b81fd4c7cd11f1863a005056b5e863">'Данные бюджета'!$J$6</definedName>
    <definedName name="СП_20270801_f8b81fd7c7cd11f1863a005056b5e863">'Данные бюджета'!$J$8</definedName>
    <definedName name="СП_20270801_f8b81fdfc7cd11f1863a005056b5e863">'Данные бюджета'!$J$17</definedName>
    <definedName name="СП_20270801_f8b81ffcc7cd11f1863a005056b5e863">'Данные бюджета'!$J$30</definedName>
    <definedName name="СП_20270801_f8b81ffdc7cd11f1863a005056b5e863">'Данные бюджета'!$J$103</definedName>
    <definedName name="СП_20270801_f8b82002c7cd11f1863a005056b5e863">'Данные бюджета'!$J$58</definedName>
    <definedName name="СП_20270801_f8b82007c7cd11f1863a005056b5e863">'Данные бюджета'!$J$38</definedName>
    <definedName name="СП_20270801_f92069c8c84711f083a1005056b5170a">'Данные бюджета'!$J$121</definedName>
    <definedName name="СП_20270801_f9883edd0bfd11f183c6005056b5170a">'Данные бюджета'!$J$28</definedName>
    <definedName name="СП_20270801_fc80b55ac7cc11f083a1005056b5170a">'Данные бюджета'!$J$69</definedName>
    <definedName name="СП_20270801_fdbd26b794dc11ee8376005056a1be4c">'Данные бюджета'!$J$112</definedName>
    <definedName name="СП_20270801_feb6a2a0c7cd11f1863a005056b5e863">'Данные бюджета'!$J$31</definedName>
    <definedName name="СП_20270801_feb6a2a7c7cd11f1863a005056b5e863">'Данные бюджета'!$J$63</definedName>
    <definedName name="СП_20270801_feb6a2afc7cd11f1863a005056b5e863">'Данные бюджета'!$J$71</definedName>
    <definedName name="СП_20270801_feb6a2e0c7cd11f1863a005056b5e863">'Данные бюджета'!$J$81</definedName>
    <definedName name="СП_20270801_feb6a30bc7cd11f1863a005056b5e863">'Данные бюджета'!$J$85</definedName>
    <definedName name="СП_20270801_feb6a310c7cd11f1863a005056b5e863">'Данные бюджета'!$J$90</definedName>
    <definedName name="СП_20270801_feb6a316c7cd11f1863a005056b5e863">'Данные бюджета'!$J$96</definedName>
    <definedName name="СП_20270801_feb6a31dc7cd11f1863a005056b5e863">'Данные бюджета'!$J$109</definedName>
    <definedName name="СП_20270801_feb6a325c7cd11f1863a005056b5e863">'Данные бюджета'!$J$117</definedName>
    <definedName name="СП_20270801_feb6a328c7cd11f1863a005056b5e863">'Данные бюджета'!$J$120</definedName>
    <definedName name="СП_20270801_feb6a32bc7cd11f1863a005056b5e863">'Данные бюджета'!$J$123</definedName>
    <definedName name="СП_20270801_feb6a332c7cd11f1863a005056b5e863">'Данные бюджета'!$J$130</definedName>
    <definedName name="СП_20270801_feb6a339c7cd11f1863a005056b5e863">'Данные бюджета'!$J$137</definedName>
    <definedName name="СП_20270801_feb6a33dc7cd11f1863a005056b5e863">'Данные бюджета'!$J$141</definedName>
    <definedName name="СП_20270801_ffc1afcac85811f083a1005056b5170a">'Данные бюджета'!$J$128</definedName>
    <definedName name="СП_20270901_018a9487c7b411f083a1005056b5170a">'Данные бюджета'!$K$40</definedName>
    <definedName name="СП_20270901_036681dbc84811f083a1005056b5170a">'Данные бюджета'!$K$122</definedName>
    <definedName name="СП_20270901_03e74c0fc7d911f083a1005056b5170a">'Данные бюджета'!$K$102</definedName>
    <definedName name="СП_20270901_05104b79c7a811f083a1005056b5170a">'Данные бюджета'!$K$21</definedName>
    <definedName name="СП_20270901_0bb19101c85911f083a1005056b5170a">'Данные бюджета'!$K$129</definedName>
    <definedName name="СП_20270901_0db71d62c84611f083a1005056b5170a">'Данные бюджета'!$K$114</definedName>
    <definedName name="СП_20270901_1421d8301d4811f183c7005056b5170a">'Данные бюджета'!$K$23</definedName>
    <definedName name="СП_20270901_163680a8c7d611f083a1005056b5170a">'Данные бюджета'!$K$73</definedName>
    <definedName name="СП_20270901_16fb1a53c7a811f083a1005056b5170a">'Данные бюджета'!$K$22</definedName>
    <definedName name="СП_20270901_184a45cfc7d711f083a1005056b5170a">'Данные бюджета'!$K$86</definedName>
    <definedName name="СП_20270901_196bb604c7b411f083a1005056b5170a">'Данные бюджета'!$K$41</definedName>
    <definedName name="СП_20270901_1a614068928811ee8376005056a1be4c">'Данные бюджета'!$K$14</definedName>
    <definedName name="СП_20270901_1a684706c84611f083a1005056b5170a">'Данные бюджета'!$K$115</definedName>
    <definedName name="СП_20270901_1daed84fc7b511f083a1005056b5170a">'Данные бюджета'!$K$45</definedName>
    <definedName name="СП_20270901_22a01918c7aa11f083a1005056b5170a">'Данные бюджета'!$K$32</definedName>
    <definedName name="СП_20270901_25fb3b91c7d611f083a1005056b5170a">'Данные бюджета'!$K$74</definedName>
    <definedName name="СП_20270901_271acd8d928811ee8376005056a1be4c">'Данные бюджета'!$K$10</definedName>
    <definedName name="СП_20270901_28c78a1ec7d711f083a1005056b5170a">'Данные бюджета'!$K$87</definedName>
    <definedName name="СП_20270901_2f74b944c7d811f083a1005056b5170a">'Данные бюджета'!$K$94</definedName>
    <definedName name="СП_20270901_31632d0cc7d611f083a1005056b5170a">'Данные бюджета'!$K$75</definedName>
    <definedName name="СП_20270901_33d4cd4f213211f183c7005056b5170a">'Данные бюджета'!$K$138</definedName>
    <definedName name="СП_20270901_34aab0c2990f11ef8384005056b5170a">'Данные бюджета'!$K$57</definedName>
    <definedName name="СП_20270901_355043d4c7d711f083a1005056b5170a">'Данные бюджета'!$K$88</definedName>
    <definedName name="СП_20270901_389f4057c7cb11f083a1005056b5170a">'Данные бюджета'!$K$62</definedName>
    <definedName name="СП_20270901_3a95d75e928a11ee8376005056a1be4c">'Данные бюджета'!$K$16</definedName>
    <definedName name="СП_20270901_3bd8087fc7d611f083a1005056b5170a">'Данные бюджета'!$K$76</definedName>
    <definedName name="СП_20270901_3c712981dfb011e982ef005056a1be4c">'Данные бюджета'!$K$108</definedName>
    <definedName name="СП_20270901_3f2ff9d6a5b011ef8384005056b5170a">'Данные бюджета'!$K$93</definedName>
    <definedName name="СП_20270901_445c2761c7b511f083a1005056b5170a">'Данные бюджета'!$K$46</definedName>
    <definedName name="СП_20270901_4613411b213211f183c7005056b5170a">'Данные бюджета'!$K$140</definedName>
    <definedName name="СП_20270901_46829e96c7d711f083a1005056b5170a">'Данные бюджета'!$K$89</definedName>
    <definedName name="СП_20270901_477830aa94da11ee8376005056a1be4c">'Данные бюджета'!$K$55</definedName>
    <definedName name="СП_20270901_483ec6637b9911f18638005056b5e863">'Данные бюджета'!$K$139</definedName>
    <definedName name="СП_20270901_49fa47b0c7d611f083a1005056b5170a">'Данные бюджета'!$K$78</definedName>
    <definedName name="СП_20270901_55eb4f8fc7d611f083a1005056b5170a">'Данные бюджета'!$K$79</definedName>
    <definedName name="СП_20270901_584645171d5511f183c7005056b5170a">'Данные бюджета'!$K$24</definedName>
    <definedName name="СП_20270901_5b33182ac7b611f083a1005056b5170a">'Данные бюджета'!$K$49</definedName>
    <definedName name="СП_20270901_5e534b9ac7aa11f083a1005056b5170a">'Данные бюджета'!$K$33</definedName>
    <definedName name="СП_20270901_6244c5e8c84711f083a1005056b5170a">'Данные бюджета'!$K$118</definedName>
    <definedName name="СП_20270901_6277513ac7b711f083a1005056b5170a">'Данные бюджета'!$K$56</definedName>
    <definedName name="СП_20270901_63f6fb3ae48911f083a6005056b5170a">'Данные бюджета'!$K$36</definedName>
    <definedName name="СП_20270901_6dcdcaa9c7d611f083a1005056b5170a">'Данные бюджета'!$K$80</definedName>
    <definedName name="СП_20270901_6ec5bd18c7aa11f083a1005056b5170a">'Данные бюджета'!$K$34</definedName>
    <definedName name="СП_20270901_74e570081d4811f183c7005056b5170a">'Данные бюджета'!$K$29</definedName>
    <definedName name="СП_20270901_77e5b212695b11f18638005056b5e863">'Данные бюджета'!$K$142</definedName>
    <definedName name="СП_20270901_7c5e7d4fc7aa11f083a1005056b5170a">'Данные бюджета'!$K$35</definedName>
    <definedName name="СП_20270901_806711dd1d5511f183c7005056b5170a">'Данные бюджета'!$K$25</definedName>
    <definedName name="СП_20270901_85aa1e2d1d4f11f183c7005056b5170a">'Данные бюджета'!$K$113</definedName>
    <definedName name="СП_20270901_8e478e15c7aa11f083a1005056b5170a">'Данные бюджета'!$K$37</definedName>
    <definedName name="СП_20270901_9205e61ac7a011f083a1005056b5170a">'Данные бюджета'!$K$12</definedName>
    <definedName name="СП_20270901_93e92e58c94711f083a3005056b5170a">'Данные бюджета'!$K$111</definedName>
    <definedName name="СП_20270901_953ba8c5695b11f18638005056b5e863">'Данные бюджета'!$K$143</definedName>
    <definedName name="СП_20270901_9de962cac84711f083a1005056b5170a">'Данные бюджета'!$K$119</definedName>
    <definedName name="СП_20270901_9e642f621d4f11f183c7005056b5170a">'Данные бюджета'!$K$116</definedName>
    <definedName name="СП_20270901_a477ec4f545211f183c8005056b5170a">'Данные бюджета'!$K$27</definedName>
    <definedName name="СП_20270901_aa40973a1d4a11f183c7005056b5170a">'Данные бюджета'!$K$95</definedName>
    <definedName name="СП_20270901_ab1ef3c9c7cc11f083a1005056b5170a">'Данные бюджета'!$K$64</definedName>
    <definedName name="СП_20270901_ab6bfd2cc7d811f083a1005056b5170a">'Данные бюджета'!$K$97</definedName>
    <definedName name="СП_20270901_b1def38f1d5511f183c7005056b5170a">'Данные бюджета'!$K$26</definedName>
    <definedName name="СП_20270901_b3b0d47f1d5011f183c7005056b5170a">'Данные бюджета'!$K$127</definedName>
    <definedName name="СП_20270901_b414fc5ac85811f083a1005056b5170a">'Данные бюджета'!$K$124</definedName>
    <definedName name="СП_20270901_b438366e4cd911e680db005056a1088b">'Данные бюджета'!$K$11</definedName>
    <definedName name="СП_20270901_b4431256c7a611f083a1005056b5170a">'Данные бюджета'!$K$18</definedName>
    <definedName name="СП_20270901_bc7a7d01c7d811f083a1005056b5170a">'Данные бюджета'!$K$98</definedName>
    <definedName name="СП_20270901_be8eb25fc7cc11f083a1005056b5170a">'Данные бюджета'!$K$65</definedName>
    <definedName name="СП_20270901_bf6525441d5111f183c7005056b5170a">'Данные бюджета'!$K$131</definedName>
    <definedName name="СП_20270901_c0422569c7d611f083a1005056b5170a">'Данные бюджета'!$K$82</definedName>
    <definedName name="СП_20270901_c4d393ccc85911f083a1005056b5170a">'Данные бюджета'!$K$132</definedName>
    <definedName name="СП_20270901_c64e660926bd11f183c7005056b5170a">'Данные бюджета'!$K$77</definedName>
    <definedName name="СП_20270901_c7add6cc6a4811e4805ad4ae526f013e">'Данные бюджета'!$K$54</definedName>
    <definedName name="СП_20270901_c7add6cd6a4811e4805ad4ae526f013e">'Данные бюджета'!$K$107</definedName>
    <definedName name="СП_20270901_c7add6d06a4811e4805ad4ae526f013e">'Данные бюджета'!$K$43</definedName>
    <definedName name="СП_20270901_c7add6d26a4811e4805ad4ae526f013e">'Данные бюджета'!$K$48</definedName>
    <definedName name="СП_20270901_c7add6d36a4811e4805ad4ae526f013e">'Данные бюджета'!$K$47</definedName>
    <definedName name="СП_20270901_c7add6d46a4811e4805ad4ae526f013e">'Данные бюджета'!$K$42</definedName>
    <definedName name="СП_20270901_c7add6d76a4811e4805ad4ae526f013e">'Данные бюджета'!$K$39</definedName>
    <definedName name="СП_20270901_c7add6ea6a4811e4805ad4ae526f013e">'Данные бюджета'!$K$7</definedName>
    <definedName name="СП_20270901_c7add6ed6a4811e4805ad4ae526f013e">'Данные бюджета'!$K$9</definedName>
    <definedName name="СП_20270901_c7add6f66a4811e4805ad4ae526f013e">'Данные бюджета'!$K$15</definedName>
    <definedName name="СП_20270901_c7add6f76a4811e4805ad4ae526f013e">'Данные бюджета'!$K$13</definedName>
    <definedName name="СП_20270901_c7add6ff6a4811e4805ad4ae526f013e">'Данные бюджета'!$K$104</definedName>
    <definedName name="СП_20270901_c7add7016a4811e4805ad4ae526f013e">'Данные бюджета'!$K$106</definedName>
    <definedName name="СП_20270901_c7add7026a4811e4805ad4ae526f013e">'Данные бюджета'!$K$105</definedName>
    <definedName name="СП_20270901_c7add7046a4811e4805ad4ae526f013e">'Данные бюджета'!$K$52</definedName>
    <definedName name="СП_20270901_c7add7056a4811e4805ad4ae526f013e">'Данные бюджета'!$K$50</definedName>
    <definedName name="СП_20270901_c7add7066a4811e4805ad4ae526f013e">'Данные бюджета'!$K$53</definedName>
    <definedName name="СП_20270901_c7add7076a4811e4805ad4ae526f013e">'Данные бюджета'!$K$61</definedName>
    <definedName name="СП_20270901_c7add7266a4811e4805ad4ae526f013e">'Данные бюджета'!$K$51</definedName>
    <definedName name="СП_20270901_cc91985fc7d811f083a1005056b5170a">'Данные бюджета'!$K$99</definedName>
    <definedName name="СП_20270901_ccbf0ec5c7cc11f083a1005056b5170a">'Данные бюджета'!$K$66</definedName>
    <definedName name="СП_20270901_ce12a12494db11ee8376005056a1be4c">'Данные бюджета'!$K$60</definedName>
    <definedName name="СП_20270901_d0ff26e8c84511f083a1005056b5170a">'Данные бюджета'!$K$110</definedName>
    <definedName name="СП_20270901_d1196183c7d611f083a1005056b5170a">'Данные бюджета'!$K$83</definedName>
    <definedName name="СП_20270901_d450ad9cc84311f083a1005056b5170a">'Данные бюджета'!$K$134</definedName>
    <definedName name="СП_20270901_d56e8e951d4911f183c7005056b5170a">'Данные бюджета'!$K$70</definedName>
    <definedName name="СП_20270901_d9a415b3c7d611f083a1005056b5170a">'Данные бюджета'!$K$84</definedName>
    <definedName name="СП_20270901_dc23c215c7d511f083a1005056b5170a">'Данные бюджета'!$K$72</definedName>
    <definedName name="СП_20270901_de2933d4c85911f083a1005056b5170a">'Данные бюджета'!$K$133</definedName>
    <definedName name="СП_20270901_e0d93d37c7cc11f083a1005056b5170a">'Данные бюджета'!$K$67</definedName>
    <definedName name="СП_20270901_e21f8f63c7d711f083a1005056b5170a">'Данные бюджета'!$K$91</definedName>
    <definedName name="СП_20270901_e47771ec94dc11ee8376005056a1be4c">'Данные бюджета'!$K$20</definedName>
    <definedName name="СП_20270901_e5e5c84ec7d811f083a1005056b5170a">'Данные бюджета'!$K$100</definedName>
    <definedName name="СП_20270901_e7dd9c1c94db11ee8376005056a1be4c">'Данные бюджета'!$K$59</definedName>
    <definedName name="СП_20270901_eaf11e23c85911f083a1005056b5170a">'Данные бюджета'!$K$135</definedName>
    <definedName name="СП_20270901_ec74db8b1d5011f183c7005056b5170a">'Данные бюджета'!$K$125</definedName>
    <definedName name="СП_20270901_eda9216ec7cc11f083a1005056b5170a">'Данные бюджета'!$K$68</definedName>
    <definedName name="СП_20270901_f15872d1c7d811f083a1005056b5170a">'Данные бюджета'!$K$101</definedName>
    <definedName name="СП_20270901_f3278a99c7a711f083a1005056b5170a">'Данные бюджета'!$K$19</definedName>
    <definedName name="СП_20270901_f38ae66bc7d711f083a1005056b5170a">'Данные бюджета'!$K$92</definedName>
    <definedName name="СП_20270901_f3d09913c85811f083a1005056b5170a">'Данные бюджета'!$K$126</definedName>
    <definedName name="СП_20270901_f3f3b17d1d4911f183c7005056b5170a">'Данные бюджета'!$K$136</definedName>
    <definedName name="СП_20270901_f6bf7d1ec7b411f083a1005056b5170a">'Данные бюджета'!$K$44</definedName>
    <definedName name="СП_20270901_f8b81fd3c7cd11f1863a005056b5e863">'Данные бюджета'!$K$5</definedName>
    <definedName name="СП_20270901_f8b81fd4c7cd11f1863a005056b5e863">'Данные бюджета'!$K$6</definedName>
    <definedName name="СП_20270901_f8b81fd7c7cd11f1863a005056b5e863">'Данные бюджета'!$K$8</definedName>
    <definedName name="СП_20270901_f8b81fdfc7cd11f1863a005056b5e863">'Данные бюджета'!$K$17</definedName>
    <definedName name="СП_20270901_f8b81ffcc7cd11f1863a005056b5e863">'Данные бюджета'!$K$30</definedName>
    <definedName name="СП_20270901_f8b81ffdc7cd11f1863a005056b5e863">'Данные бюджета'!$K$103</definedName>
    <definedName name="СП_20270901_f8b82002c7cd11f1863a005056b5e863">'Данные бюджета'!$K$58</definedName>
    <definedName name="СП_20270901_f8b82007c7cd11f1863a005056b5e863">'Данные бюджета'!$K$38</definedName>
    <definedName name="СП_20270901_f92069c8c84711f083a1005056b5170a">'Данные бюджета'!$K$121</definedName>
    <definedName name="СП_20270901_f9883edd0bfd11f183c6005056b5170a">'Данные бюджета'!$K$28</definedName>
    <definedName name="СП_20270901_fc80b55ac7cc11f083a1005056b5170a">'Данные бюджета'!$K$69</definedName>
    <definedName name="СП_20270901_fdbd26b794dc11ee8376005056a1be4c">'Данные бюджета'!$K$112</definedName>
    <definedName name="СП_20270901_feb6a2a0c7cd11f1863a005056b5e863">'Данные бюджета'!$K$31</definedName>
    <definedName name="СП_20270901_feb6a2a7c7cd11f1863a005056b5e863">'Данные бюджета'!$K$63</definedName>
    <definedName name="СП_20270901_feb6a2afc7cd11f1863a005056b5e863">'Данные бюджета'!$K$71</definedName>
    <definedName name="СП_20270901_feb6a2e0c7cd11f1863a005056b5e863">'Данные бюджета'!$K$81</definedName>
    <definedName name="СП_20270901_feb6a30bc7cd11f1863a005056b5e863">'Данные бюджета'!$K$85</definedName>
    <definedName name="СП_20270901_feb6a310c7cd11f1863a005056b5e863">'Данные бюджета'!$K$90</definedName>
    <definedName name="СП_20270901_feb6a316c7cd11f1863a005056b5e863">'Данные бюджета'!$K$96</definedName>
    <definedName name="СП_20270901_feb6a31dc7cd11f1863a005056b5e863">'Данные бюджета'!$K$109</definedName>
    <definedName name="СП_20270901_feb6a325c7cd11f1863a005056b5e863">'Данные бюджета'!$K$117</definedName>
    <definedName name="СП_20270901_feb6a328c7cd11f1863a005056b5e863">'Данные бюджета'!$K$120</definedName>
    <definedName name="СП_20270901_feb6a32bc7cd11f1863a005056b5e863">'Данные бюджета'!$K$123</definedName>
    <definedName name="СП_20270901_feb6a332c7cd11f1863a005056b5e863">'Данные бюджета'!$K$130</definedName>
    <definedName name="СП_20270901_feb6a339c7cd11f1863a005056b5e863">'Данные бюджета'!$K$137</definedName>
    <definedName name="СП_20270901_feb6a33dc7cd11f1863a005056b5e863">'Данные бюджета'!$K$141</definedName>
    <definedName name="СП_20270901_ffc1afcac85811f083a1005056b5170a">'Данные бюджета'!$K$128</definedName>
    <definedName name="СП_20271001_018a9487c7b411f083a1005056b5170a">'Данные бюджета'!$L$40</definedName>
    <definedName name="СП_20271001_036681dbc84811f083a1005056b5170a">'Данные бюджета'!$L$122</definedName>
    <definedName name="СП_20271001_03e74c0fc7d911f083a1005056b5170a">'Данные бюджета'!$L$102</definedName>
    <definedName name="СП_20271001_05104b79c7a811f083a1005056b5170a">'Данные бюджета'!$L$21</definedName>
    <definedName name="СП_20271001_0bb19101c85911f083a1005056b5170a">'Данные бюджета'!$L$129</definedName>
    <definedName name="СП_20271001_0db71d62c84611f083a1005056b5170a">'Данные бюджета'!$L$114</definedName>
    <definedName name="СП_20271001_1421d8301d4811f183c7005056b5170a">'Данные бюджета'!$L$23</definedName>
    <definedName name="СП_20271001_163680a8c7d611f083a1005056b5170a">'Данные бюджета'!$L$73</definedName>
    <definedName name="СП_20271001_16fb1a53c7a811f083a1005056b5170a">'Данные бюджета'!$L$22</definedName>
    <definedName name="СП_20271001_184a45cfc7d711f083a1005056b5170a">'Данные бюджета'!$L$86</definedName>
    <definedName name="СП_20271001_196bb604c7b411f083a1005056b5170a">'Данные бюджета'!$L$41</definedName>
    <definedName name="СП_20271001_1a614068928811ee8376005056a1be4c">'Данные бюджета'!$L$14</definedName>
    <definedName name="СП_20271001_1a684706c84611f083a1005056b5170a">'Данные бюджета'!$L$115</definedName>
    <definedName name="СП_20271001_1daed84fc7b511f083a1005056b5170a">'Данные бюджета'!$L$45</definedName>
    <definedName name="СП_20271001_22a01918c7aa11f083a1005056b5170a">'Данные бюджета'!$L$32</definedName>
    <definedName name="СП_20271001_25fb3b91c7d611f083a1005056b5170a">'Данные бюджета'!$L$74</definedName>
    <definedName name="СП_20271001_271acd8d928811ee8376005056a1be4c">'Данные бюджета'!$L$10</definedName>
    <definedName name="СП_20271001_28c78a1ec7d711f083a1005056b5170a">'Данные бюджета'!$L$87</definedName>
    <definedName name="СП_20271001_2f74b944c7d811f083a1005056b5170a">'Данные бюджета'!$L$94</definedName>
    <definedName name="СП_20271001_31632d0cc7d611f083a1005056b5170a">'Данные бюджета'!$L$75</definedName>
    <definedName name="СП_20271001_33d4cd4f213211f183c7005056b5170a">'Данные бюджета'!$L$138</definedName>
    <definedName name="СП_20271001_34aab0c2990f11ef8384005056b5170a">'Данные бюджета'!$L$57</definedName>
    <definedName name="СП_20271001_355043d4c7d711f083a1005056b5170a">'Данные бюджета'!$L$88</definedName>
    <definedName name="СП_20271001_389f4057c7cb11f083a1005056b5170a">'Данные бюджета'!$L$62</definedName>
    <definedName name="СП_20271001_3a95d75e928a11ee8376005056a1be4c">'Данные бюджета'!$L$16</definedName>
    <definedName name="СП_20271001_3bd8087fc7d611f083a1005056b5170a">'Данные бюджета'!$L$76</definedName>
    <definedName name="СП_20271001_3c712981dfb011e982ef005056a1be4c">'Данные бюджета'!$L$108</definedName>
    <definedName name="СП_20271001_3f2ff9d6a5b011ef8384005056b5170a">'Данные бюджета'!$L$93</definedName>
    <definedName name="СП_20271001_445c2761c7b511f083a1005056b5170a">'Данные бюджета'!$L$46</definedName>
    <definedName name="СП_20271001_4613411b213211f183c7005056b5170a">'Данные бюджета'!$L$140</definedName>
    <definedName name="СП_20271001_46829e96c7d711f083a1005056b5170a">'Данные бюджета'!$L$89</definedName>
    <definedName name="СП_20271001_477830aa94da11ee8376005056a1be4c">'Данные бюджета'!$L$55</definedName>
    <definedName name="СП_20271001_483ec6637b9911f18638005056b5e863">'Данные бюджета'!$L$139</definedName>
    <definedName name="СП_20271001_49fa47b0c7d611f083a1005056b5170a">'Данные бюджета'!$L$78</definedName>
    <definedName name="СП_20271001_55eb4f8fc7d611f083a1005056b5170a">'Данные бюджета'!$L$79</definedName>
    <definedName name="СП_20271001_584645171d5511f183c7005056b5170a">'Данные бюджета'!$L$24</definedName>
    <definedName name="СП_20271001_5b33182ac7b611f083a1005056b5170a">'Данные бюджета'!$L$49</definedName>
    <definedName name="СП_20271001_5e534b9ac7aa11f083a1005056b5170a">'Данные бюджета'!$L$33</definedName>
    <definedName name="СП_20271001_6244c5e8c84711f083a1005056b5170a">'Данные бюджета'!$L$118</definedName>
    <definedName name="СП_20271001_6277513ac7b711f083a1005056b5170a">'Данные бюджета'!$L$56</definedName>
    <definedName name="СП_20271001_63f6fb3ae48911f083a6005056b5170a">'Данные бюджета'!$L$36</definedName>
    <definedName name="СП_20271001_6dcdcaa9c7d611f083a1005056b5170a">'Данные бюджета'!$L$80</definedName>
    <definedName name="СП_20271001_6ec5bd18c7aa11f083a1005056b5170a">'Данные бюджета'!$L$34</definedName>
    <definedName name="СП_20271001_74e570081d4811f183c7005056b5170a">'Данные бюджета'!$L$29</definedName>
    <definedName name="СП_20271001_77e5b212695b11f18638005056b5e863">'Данные бюджета'!$L$142</definedName>
    <definedName name="СП_20271001_7c5e7d4fc7aa11f083a1005056b5170a">'Данные бюджета'!$L$35</definedName>
    <definedName name="СП_20271001_806711dd1d5511f183c7005056b5170a">'Данные бюджета'!$L$25</definedName>
    <definedName name="СП_20271001_85aa1e2d1d4f11f183c7005056b5170a">'Данные бюджета'!$L$113</definedName>
    <definedName name="СП_20271001_8e478e15c7aa11f083a1005056b5170a">'Данные бюджета'!$L$37</definedName>
    <definedName name="СП_20271001_9205e61ac7a011f083a1005056b5170a">'Данные бюджета'!$L$12</definedName>
    <definedName name="СП_20271001_93e92e58c94711f083a3005056b5170a">'Данные бюджета'!$L$111</definedName>
    <definedName name="СП_20271001_953ba8c5695b11f18638005056b5e863">'Данные бюджета'!$L$143</definedName>
    <definedName name="СП_20271001_9de962cac84711f083a1005056b5170a">'Данные бюджета'!$L$119</definedName>
    <definedName name="СП_20271001_9e642f621d4f11f183c7005056b5170a">'Данные бюджета'!$L$116</definedName>
    <definedName name="СП_20271001_a477ec4f545211f183c8005056b5170a">'Данные бюджета'!$L$27</definedName>
    <definedName name="СП_20271001_aa40973a1d4a11f183c7005056b5170a">'Данные бюджета'!$L$95</definedName>
    <definedName name="СП_20271001_ab1ef3c9c7cc11f083a1005056b5170a">'Данные бюджета'!$L$64</definedName>
    <definedName name="СП_20271001_ab6bfd2cc7d811f083a1005056b5170a">'Данные бюджета'!$L$97</definedName>
    <definedName name="СП_20271001_b1def38f1d5511f183c7005056b5170a">'Данные бюджета'!$L$26</definedName>
    <definedName name="СП_20271001_b3b0d47f1d5011f183c7005056b5170a">'Данные бюджета'!$L$127</definedName>
    <definedName name="СП_20271001_b414fc5ac85811f083a1005056b5170a">'Данные бюджета'!$L$124</definedName>
    <definedName name="СП_20271001_b438366e4cd911e680db005056a1088b">'Данные бюджета'!$L$11</definedName>
    <definedName name="СП_20271001_b4431256c7a611f083a1005056b5170a">'Данные бюджета'!$L$18</definedName>
    <definedName name="СП_20271001_bc7a7d01c7d811f083a1005056b5170a">'Данные бюджета'!$L$98</definedName>
    <definedName name="СП_20271001_be8eb25fc7cc11f083a1005056b5170a">'Данные бюджета'!$L$65</definedName>
    <definedName name="СП_20271001_bf6525441d5111f183c7005056b5170a">'Данные бюджета'!$L$131</definedName>
    <definedName name="СП_20271001_c0422569c7d611f083a1005056b5170a">'Данные бюджета'!$L$82</definedName>
    <definedName name="СП_20271001_c4d393ccc85911f083a1005056b5170a">'Данные бюджета'!$L$132</definedName>
    <definedName name="СП_20271001_c64e660926bd11f183c7005056b5170a">'Данные бюджета'!$L$77</definedName>
    <definedName name="СП_20271001_c7add6cc6a4811e4805ad4ae526f013e">'Данные бюджета'!$L$54</definedName>
    <definedName name="СП_20271001_c7add6cd6a4811e4805ad4ae526f013e">'Данные бюджета'!$L$107</definedName>
    <definedName name="СП_20271001_c7add6d06a4811e4805ad4ae526f013e">'Данные бюджета'!$L$43</definedName>
    <definedName name="СП_20271001_c7add6d26a4811e4805ad4ae526f013e">'Данные бюджета'!$L$48</definedName>
    <definedName name="СП_20271001_c7add6d36a4811e4805ad4ae526f013e">'Данные бюджета'!$L$47</definedName>
    <definedName name="СП_20271001_c7add6d46a4811e4805ad4ae526f013e">'Данные бюджета'!$L$42</definedName>
    <definedName name="СП_20271001_c7add6d76a4811e4805ad4ae526f013e">'Данные бюджета'!$L$39</definedName>
    <definedName name="СП_20271001_c7add6ea6a4811e4805ad4ae526f013e">'Данные бюджета'!$L$7</definedName>
    <definedName name="СП_20271001_c7add6ed6a4811e4805ad4ae526f013e">'Данные бюджета'!$L$9</definedName>
    <definedName name="СП_20271001_c7add6f66a4811e4805ad4ae526f013e">'Данные бюджета'!$L$15</definedName>
    <definedName name="СП_20271001_c7add6f76a4811e4805ad4ae526f013e">'Данные бюджета'!$L$13</definedName>
    <definedName name="СП_20271001_c7add6ff6a4811e4805ad4ae526f013e">'Данные бюджета'!$L$104</definedName>
    <definedName name="СП_20271001_c7add7016a4811e4805ad4ae526f013e">'Данные бюджета'!$L$106</definedName>
    <definedName name="СП_20271001_c7add7026a4811e4805ad4ae526f013e">'Данные бюджета'!$L$105</definedName>
    <definedName name="СП_20271001_c7add7046a4811e4805ad4ae526f013e">'Данные бюджета'!$L$52</definedName>
    <definedName name="СП_20271001_c7add7056a4811e4805ad4ae526f013e">'Данные бюджета'!$L$50</definedName>
    <definedName name="СП_20271001_c7add7066a4811e4805ad4ae526f013e">'Данные бюджета'!$L$53</definedName>
    <definedName name="СП_20271001_c7add7076a4811e4805ad4ae526f013e">'Данные бюджета'!$L$61</definedName>
    <definedName name="СП_20271001_c7add7266a4811e4805ad4ae526f013e">'Данные бюджета'!$L$51</definedName>
    <definedName name="СП_20271001_cc91985fc7d811f083a1005056b5170a">'Данные бюджета'!$L$99</definedName>
    <definedName name="СП_20271001_ccbf0ec5c7cc11f083a1005056b5170a">'Данные бюджета'!$L$66</definedName>
    <definedName name="СП_20271001_ce12a12494db11ee8376005056a1be4c">'Данные бюджета'!$L$60</definedName>
    <definedName name="СП_20271001_d0ff26e8c84511f083a1005056b5170a">'Данные бюджета'!$L$110</definedName>
    <definedName name="СП_20271001_d1196183c7d611f083a1005056b5170a">'Данные бюджета'!$L$83</definedName>
    <definedName name="СП_20271001_d450ad9cc84311f083a1005056b5170a">'Данные бюджета'!$L$134</definedName>
    <definedName name="СП_20271001_d56e8e951d4911f183c7005056b5170a">'Данные бюджета'!$L$70</definedName>
    <definedName name="СП_20271001_d9a415b3c7d611f083a1005056b5170a">'Данные бюджета'!$L$84</definedName>
    <definedName name="СП_20271001_dc23c215c7d511f083a1005056b5170a">'Данные бюджета'!$L$72</definedName>
    <definedName name="СП_20271001_de2933d4c85911f083a1005056b5170a">'Данные бюджета'!$L$133</definedName>
    <definedName name="СП_20271001_e0d93d37c7cc11f083a1005056b5170a">'Данные бюджета'!$L$67</definedName>
    <definedName name="СП_20271001_e21f8f63c7d711f083a1005056b5170a">'Данные бюджета'!$L$91</definedName>
    <definedName name="СП_20271001_e47771ec94dc11ee8376005056a1be4c">'Данные бюджета'!$L$20</definedName>
    <definedName name="СП_20271001_e5e5c84ec7d811f083a1005056b5170a">'Данные бюджета'!$L$100</definedName>
    <definedName name="СП_20271001_e7dd9c1c94db11ee8376005056a1be4c">'Данные бюджета'!$L$59</definedName>
    <definedName name="СП_20271001_eaf11e23c85911f083a1005056b5170a">'Данные бюджета'!$L$135</definedName>
    <definedName name="СП_20271001_ec74db8b1d5011f183c7005056b5170a">'Данные бюджета'!$L$125</definedName>
    <definedName name="СП_20271001_eda9216ec7cc11f083a1005056b5170a">'Данные бюджета'!$L$68</definedName>
    <definedName name="СП_20271001_f15872d1c7d811f083a1005056b5170a">'Данные бюджета'!$L$101</definedName>
    <definedName name="СП_20271001_f3278a99c7a711f083a1005056b5170a">'Данные бюджета'!$L$19</definedName>
    <definedName name="СП_20271001_f38ae66bc7d711f083a1005056b5170a">'Данные бюджета'!$L$92</definedName>
    <definedName name="СП_20271001_f3d09913c85811f083a1005056b5170a">'Данные бюджета'!$L$126</definedName>
    <definedName name="СП_20271001_f3f3b17d1d4911f183c7005056b5170a">'Данные бюджета'!$L$136</definedName>
    <definedName name="СП_20271001_f6bf7d1ec7b411f083a1005056b5170a">'Данные бюджета'!$L$44</definedName>
    <definedName name="СП_20271001_f8b81fd3c7cd11f1863a005056b5e863">'Данные бюджета'!$L$5</definedName>
    <definedName name="СП_20271001_f8b81fd4c7cd11f1863a005056b5e863">'Данные бюджета'!$L$6</definedName>
    <definedName name="СП_20271001_f8b81fd7c7cd11f1863a005056b5e863">'Данные бюджета'!$L$8</definedName>
    <definedName name="СП_20271001_f8b81fdfc7cd11f1863a005056b5e863">'Данные бюджета'!$L$17</definedName>
    <definedName name="СП_20271001_f8b81ffcc7cd11f1863a005056b5e863">'Данные бюджета'!$L$30</definedName>
    <definedName name="СП_20271001_f8b81ffdc7cd11f1863a005056b5e863">'Данные бюджета'!$L$103</definedName>
    <definedName name="СП_20271001_f8b82002c7cd11f1863a005056b5e863">'Данные бюджета'!$L$58</definedName>
    <definedName name="СП_20271001_f8b82007c7cd11f1863a005056b5e863">'Данные бюджета'!$L$38</definedName>
    <definedName name="СП_20271001_f92069c8c84711f083a1005056b5170a">'Данные бюджета'!$L$121</definedName>
    <definedName name="СП_20271001_f9883edd0bfd11f183c6005056b5170a">'Данные бюджета'!$L$28</definedName>
    <definedName name="СП_20271001_fc80b55ac7cc11f083a1005056b5170a">'Данные бюджета'!$L$69</definedName>
    <definedName name="СП_20271001_fdbd26b794dc11ee8376005056a1be4c">'Данные бюджета'!$L$112</definedName>
    <definedName name="СП_20271001_feb6a2a0c7cd11f1863a005056b5e863">'Данные бюджета'!$L$31</definedName>
    <definedName name="СП_20271001_feb6a2a7c7cd11f1863a005056b5e863">'Данные бюджета'!$L$63</definedName>
    <definedName name="СП_20271001_feb6a2afc7cd11f1863a005056b5e863">'Данные бюджета'!$L$71</definedName>
    <definedName name="СП_20271001_feb6a2e0c7cd11f1863a005056b5e863">'Данные бюджета'!$L$81</definedName>
    <definedName name="СП_20271001_feb6a30bc7cd11f1863a005056b5e863">'Данные бюджета'!$L$85</definedName>
    <definedName name="СП_20271001_feb6a310c7cd11f1863a005056b5e863">'Данные бюджета'!$L$90</definedName>
    <definedName name="СП_20271001_feb6a316c7cd11f1863a005056b5e863">'Данные бюджета'!$L$96</definedName>
    <definedName name="СП_20271001_feb6a31dc7cd11f1863a005056b5e863">'Данные бюджета'!$L$109</definedName>
    <definedName name="СП_20271001_feb6a325c7cd11f1863a005056b5e863">'Данные бюджета'!$L$117</definedName>
    <definedName name="СП_20271001_feb6a328c7cd11f1863a005056b5e863">'Данные бюджета'!$L$120</definedName>
    <definedName name="СП_20271001_feb6a32bc7cd11f1863a005056b5e863">'Данные бюджета'!$L$123</definedName>
    <definedName name="СП_20271001_feb6a332c7cd11f1863a005056b5e863">'Данные бюджета'!$L$130</definedName>
    <definedName name="СП_20271001_feb6a339c7cd11f1863a005056b5e863">'Данные бюджета'!$L$137</definedName>
    <definedName name="СП_20271001_feb6a33dc7cd11f1863a005056b5e863">'Данные бюджета'!$L$141</definedName>
    <definedName name="СП_20271001_ffc1afcac85811f083a1005056b5170a">'Данные бюджета'!$L$128</definedName>
    <definedName name="СП_20271101_018a9487c7b411f083a1005056b5170a">'Данные бюджета'!$M$40</definedName>
    <definedName name="СП_20271101_036681dbc84811f083a1005056b5170a">'Данные бюджета'!$M$122</definedName>
    <definedName name="СП_20271101_03e74c0fc7d911f083a1005056b5170a">'Данные бюджета'!$M$102</definedName>
    <definedName name="СП_20271101_05104b79c7a811f083a1005056b5170a">'Данные бюджета'!$M$21</definedName>
    <definedName name="СП_20271101_0bb19101c85911f083a1005056b5170a">'Данные бюджета'!$M$129</definedName>
    <definedName name="СП_20271101_0db71d62c84611f083a1005056b5170a">'Данные бюджета'!$M$114</definedName>
    <definedName name="СП_20271101_1421d8301d4811f183c7005056b5170a">'Данные бюджета'!$M$23</definedName>
    <definedName name="СП_20271101_163680a8c7d611f083a1005056b5170a">'Данные бюджета'!$M$73</definedName>
    <definedName name="СП_20271101_16fb1a53c7a811f083a1005056b5170a">'Данные бюджета'!$M$22</definedName>
    <definedName name="СП_20271101_184a45cfc7d711f083a1005056b5170a">'Данные бюджета'!$M$86</definedName>
    <definedName name="СП_20271101_196bb604c7b411f083a1005056b5170a">'Данные бюджета'!$M$41</definedName>
    <definedName name="СП_20271101_1a614068928811ee8376005056a1be4c">'Данные бюджета'!$M$14</definedName>
    <definedName name="СП_20271101_1a684706c84611f083a1005056b5170a">'Данные бюджета'!$M$115</definedName>
    <definedName name="СП_20271101_1daed84fc7b511f083a1005056b5170a">'Данные бюджета'!$M$45</definedName>
    <definedName name="СП_20271101_22a01918c7aa11f083a1005056b5170a">'Данные бюджета'!$M$32</definedName>
    <definedName name="СП_20271101_25fb3b91c7d611f083a1005056b5170a">'Данные бюджета'!$M$74</definedName>
    <definedName name="СП_20271101_271acd8d928811ee8376005056a1be4c">'Данные бюджета'!$M$10</definedName>
    <definedName name="СП_20271101_28c78a1ec7d711f083a1005056b5170a">'Данные бюджета'!$M$87</definedName>
    <definedName name="СП_20271101_2f74b944c7d811f083a1005056b5170a">'Данные бюджета'!$M$94</definedName>
    <definedName name="СП_20271101_31632d0cc7d611f083a1005056b5170a">'Данные бюджета'!$M$75</definedName>
    <definedName name="СП_20271101_33d4cd4f213211f183c7005056b5170a">'Данные бюджета'!$M$138</definedName>
    <definedName name="СП_20271101_34aab0c2990f11ef8384005056b5170a">'Данные бюджета'!$M$57</definedName>
    <definedName name="СП_20271101_355043d4c7d711f083a1005056b5170a">'Данные бюджета'!$M$88</definedName>
    <definedName name="СП_20271101_389f4057c7cb11f083a1005056b5170a">'Данные бюджета'!$M$62</definedName>
    <definedName name="СП_20271101_3a95d75e928a11ee8376005056a1be4c">'Данные бюджета'!$M$16</definedName>
    <definedName name="СП_20271101_3bd8087fc7d611f083a1005056b5170a">'Данные бюджета'!$M$76</definedName>
    <definedName name="СП_20271101_3c712981dfb011e982ef005056a1be4c">'Данные бюджета'!$M$108</definedName>
    <definedName name="СП_20271101_3f2ff9d6a5b011ef8384005056b5170a">'Данные бюджета'!$M$93</definedName>
    <definedName name="СП_20271101_445c2761c7b511f083a1005056b5170a">'Данные бюджета'!$M$46</definedName>
    <definedName name="СП_20271101_4613411b213211f183c7005056b5170a">'Данные бюджета'!$M$140</definedName>
    <definedName name="СП_20271101_46829e96c7d711f083a1005056b5170a">'Данные бюджета'!$M$89</definedName>
    <definedName name="СП_20271101_477830aa94da11ee8376005056a1be4c">'Данные бюджета'!$M$55</definedName>
    <definedName name="СП_20271101_483ec6637b9911f18638005056b5e863">'Данные бюджета'!$M$139</definedName>
    <definedName name="СП_20271101_49fa47b0c7d611f083a1005056b5170a">'Данные бюджета'!$M$78</definedName>
    <definedName name="СП_20271101_55eb4f8fc7d611f083a1005056b5170a">'Данные бюджета'!$M$79</definedName>
    <definedName name="СП_20271101_584645171d5511f183c7005056b5170a">'Данные бюджета'!$M$24</definedName>
    <definedName name="СП_20271101_5b33182ac7b611f083a1005056b5170a">'Данные бюджета'!$M$49</definedName>
    <definedName name="СП_20271101_5e534b9ac7aa11f083a1005056b5170a">'Данные бюджета'!$M$33</definedName>
    <definedName name="СП_20271101_6244c5e8c84711f083a1005056b5170a">'Данные бюджета'!$M$118</definedName>
    <definedName name="СП_20271101_6277513ac7b711f083a1005056b5170a">'Данные бюджета'!$M$56</definedName>
    <definedName name="СП_20271101_63f6fb3ae48911f083a6005056b5170a">'Данные бюджета'!$M$36</definedName>
    <definedName name="СП_20271101_6dcdcaa9c7d611f083a1005056b5170a">'Данные бюджета'!$M$80</definedName>
    <definedName name="СП_20271101_6ec5bd18c7aa11f083a1005056b5170a">'Данные бюджета'!$M$34</definedName>
    <definedName name="СП_20271101_74e570081d4811f183c7005056b5170a">'Данные бюджета'!$M$29</definedName>
    <definedName name="СП_20271101_77e5b212695b11f18638005056b5e863">'Данные бюджета'!$M$142</definedName>
    <definedName name="СП_20271101_7c5e7d4fc7aa11f083a1005056b5170a">'Данные бюджета'!$M$35</definedName>
    <definedName name="СП_20271101_806711dd1d5511f183c7005056b5170a">'Данные бюджета'!$M$25</definedName>
    <definedName name="СП_20271101_85aa1e2d1d4f11f183c7005056b5170a">'Данные бюджета'!$M$113</definedName>
    <definedName name="СП_20271101_8e478e15c7aa11f083a1005056b5170a">'Данные бюджета'!$M$37</definedName>
    <definedName name="СП_20271101_9205e61ac7a011f083a1005056b5170a">'Данные бюджета'!$M$12</definedName>
    <definedName name="СП_20271101_93e92e58c94711f083a3005056b5170a">'Данные бюджета'!$M$111</definedName>
    <definedName name="СП_20271101_953ba8c5695b11f18638005056b5e863">'Данные бюджета'!$M$143</definedName>
    <definedName name="СП_20271101_9de962cac84711f083a1005056b5170a">'Данные бюджета'!$M$119</definedName>
    <definedName name="СП_20271101_9e642f621d4f11f183c7005056b5170a">'Данные бюджета'!$M$116</definedName>
    <definedName name="СП_20271101_a477ec4f545211f183c8005056b5170a">'Данные бюджета'!$M$27</definedName>
    <definedName name="СП_20271101_aa40973a1d4a11f183c7005056b5170a">'Данные бюджета'!$M$95</definedName>
    <definedName name="СП_20271101_ab1ef3c9c7cc11f083a1005056b5170a">'Данные бюджета'!$M$64</definedName>
    <definedName name="СП_20271101_ab6bfd2cc7d811f083a1005056b5170a">'Данные бюджета'!$M$97</definedName>
    <definedName name="СП_20271101_b1def38f1d5511f183c7005056b5170a">'Данные бюджета'!$M$26</definedName>
    <definedName name="СП_20271101_b3b0d47f1d5011f183c7005056b5170a">'Данные бюджета'!$M$127</definedName>
    <definedName name="СП_20271101_b414fc5ac85811f083a1005056b5170a">'Данные бюджета'!$M$124</definedName>
    <definedName name="СП_20271101_b438366e4cd911e680db005056a1088b">'Данные бюджета'!$M$11</definedName>
    <definedName name="СП_20271101_b4431256c7a611f083a1005056b5170a">'Данные бюджета'!$M$18</definedName>
    <definedName name="СП_20271101_bc7a7d01c7d811f083a1005056b5170a">'Данные бюджета'!$M$98</definedName>
    <definedName name="СП_20271101_be8eb25fc7cc11f083a1005056b5170a">'Данные бюджета'!$M$65</definedName>
    <definedName name="СП_20271101_bf6525441d5111f183c7005056b5170a">'Данные бюджета'!$M$131</definedName>
    <definedName name="СП_20271101_c0422569c7d611f083a1005056b5170a">'Данные бюджета'!$M$82</definedName>
    <definedName name="СП_20271101_c4d393ccc85911f083a1005056b5170a">'Данные бюджета'!$M$132</definedName>
    <definedName name="СП_20271101_c64e660926bd11f183c7005056b5170a">'Данные бюджета'!$M$77</definedName>
    <definedName name="СП_20271101_c7add6cc6a4811e4805ad4ae526f013e">'Данные бюджета'!$M$54</definedName>
    <definedName name="СП_20271101_c7add6cd6a4811e4805ad4ae526f013e">'Данные бюджета'!$M$107</definedName>
    <definedName name="СП_20271101_c7add6d06a4811e4805ad4ae526f013e">'Данные бюджета'!$M$43</definedName>
    <definedName name="СП_20271101_c7add6d26a4811e4805ad4ae526f013e">'Данные бюджета'!$M$48</definedName>
    <definedName name="СП_20271101_c7add6d36a4811e4805ad4ae526f013e">'Данные бюджета'!$M$47</definedName>
    <definedName name="СП_20271101_c7add6d46a4811e4805ad4ae526f013e">'Данные бюджета'!$M$42</definedName>
    <definedName name="СП_20271101_c7add6d76a4811e4805ad4ae526f013e">'Данные бюджета'!$M$39</definedName>
    <definedName name="СП_20271101_c7add6ea6a4811e4805ad4ae526f013e">'Данные бюджета'!$M$7</definedName>
    <definedName name="СП_20271101_c7add6ed6a4811e4805ad4ae526f013e">'Данные бюджета'!$M$9</definedName>
    <definedName name="СП_20271101_c7add6f66a4811e4805ad4ae526f013e">'Данные бюджета'!$M$15</definedName>
    <definedName name="СП_20271101_c7add6f76a4811e4805ad4ae526f013e">'Данные бюджета'!$M$13</definedName>
    <definedName name="СП_20271101_c7add6ff6a4811e4805ad4ae526f013e">'Данные бюджета'!$M$104</definedName>
    <definedName name="СП_20271101_c7add7016a4811e4805ad4ae526f013e">'Данные бюджета'!$M$106</definedName>
    <definedName name="СП_20271101_c7add7026a4811e4805ad4ae526f013e">'Данные бюджета'!$M$105</definedName>
    <definedName name="СП_20271101_c7add7046a4811e4805ad4ae526f013e">'Данные бюджета'!$M$52</definedName>
    <definedName name="СП_20271101_c7add7056a4811e4805ad4ae526f013e">'Данные бюджета'!$M$50</definedName>
    <definedName name="СП_20271101_c7add7066a4811e4805ad4ae526f013e">'Данные бюджета'!$M$53</definedName>
    <definedName name="СП_20271101_c7add7076a4811e4805ad4ae526f013e">'Данные бюджета'!$M$61</definedName>
    <definedName name="СП_20271101_c7add7266a4811e4805ad4ae526f013e">'Данные бюджета'!$M$51</definedName>
    <definedName name="СП_20271101_cc91985fc7d811f083a1005056b5170a">'Данные бюджета'!$M$99</definedName>
    <definedName name="СП_20271101_ccbf0ec5c7cc11f083a1005056b5170a">'Данные бюджета'!$M$66</definedName>
    <definedName name="СП_20271101_ce12a12494db11ee8376005056a1be4c">'Данные бюджета'!$M$60</definedName>
    <definedName name="СП_20271101_d0ff26e8c84511f083a1005056b5170a">'Данные бюджета'!$M$110</definedName>
    <definedName name="СП_20271101_d1196183c7d611f083a1005056b5170a">'Данные бюджета'!$M$83</definedName>
    <definedName name="СП_20271101_d450ad9cc84311f083a1005056b5170a">'Данные бюджета'!$M$134</definedName>
    <definedName name="СП_20271101_d56e8e951d4911f183c7005056b5170a">'Данные бюджета'!$M$70</definedName>
    <definedName name="СП_20271101_d9a415b3c7d611f083a1005056b5170a">'Данные бюджета'!$M$84</definedName>
    <definedName name="СП_20271101_dc23c215c7d511f083a1005056b5170a">'Данные бюджета'!$M$72</definedName>
    <definedName name="СП_20271101_de2933d4c85911f083a1005056b5170a">'Данные бюджета'!$M$133</definedName>
    <definedName name="СП_20271101_e0d93d37c7cc11f083a1005056b5170a">'Данные бюджета'!$M$67</definedName>
    <definedName name="СП_20271101_e21f8f63c7d711f083a1005056b5170a">'Данные бюджета'!$M$91</definedName>
    <definedName name="СП_20271101_e47771ec94dc11ee8376005056a1be4c">'Данные бюджета'!$M$20</definedName>
    <definedName name="СП_20271101_e5e5c84ec7d811f083a1005056b5170a">'Данные бюджета'!$M$100</definedName>
    <definedName name="СП_20271101_e7dd9c1c94db11ee8376005056a1be4c">'Данные бюджета'!$M$59</definedName>
    <definedName name="СП_20271101_eaf11e23c85911f083a1005056b5170a">'Данные бюджета'!$M$135</definedName>
    <definedName name="СП_20271101_ec74db8b1d5011f183c7005056b5170a">'Данные бюджета'!$M$125</definedName>
    <definedName name="СП_20271101_eda9216ec7cc11f083a1005056b5170a">'Данные бюджета'!$M$68</definedName>
    <definedName name="СП_20271101_f15872d1c7d811f083a1005056b5170a">'Данные бюджета'!$M$101</definedName>
    <definedName name="СП_20271101_f3278a99c7a711f083a1005056b5170a">'Данные бюджета'!$M$19</definedName>
    <definedName name="СП_20271101_f38ae66bc7d711f083a1005056b5170a">'Данные бюджета'!$M$92</definedName>
    <definedName name="СП_20271101_f3d09913c85811f083a1005056b5170a">'Данные бюджета'!$M$126</definedName>
    <definedName name="СП_20271101_f3f3b17d1d4911f183c7005056b5170a">'Данные бюджета'!$M$136</definedName>
    <definedName name="СП_20271101_f6bf7d1ec7b411f083a1005056b5170a">'Данные бюджета'!$M$44</definedName>
    <definedName name="СП_20271101_f8b81fd3c7cd11f1863a005056b5e863">'Данные бюджета'!$M$5</definedName>
    <definedName name="СП_20271101_f8b81fd4c7cd11f1863a005056b5e863">'Данные бюджета'!$M$6</definedName>
    <definedName name="СП_20271101_f8b81fd7c7cd11f1863a005056b5e863">'Данные бюджета'!$M$8</definedName>
    <definedName name="СП_20271101_f8b81fdfc7cd11f1863a005056b5e863">'Данные бюджета'!$M$17</definedName>
    <definedName name="СП_20271101_f8b81ffcc7cd11f1863a005056b5e863">'Данные бюджета'!$M$30</definedName>
    <definedName name="СП_20271101_f8b81ffdc7cd11f1863a005056b5e863">'Данные бюджета'!$M$103</definedName>
    <definedName name="СП_20271101_f8b82002c7cd11f1863a005056b5e863">'Данные бюджета'!$M$58</definedName>
    <definedName name="СП_20271101_f8b82007c7cd11f1863a005056b5e863">'Данные бюджета'!$M$38</definedName>
    <definedName name="СП_20271101_f92069c8c84711f083a1005056b5170a">'Данные бюджета'!$M$121</definedName>
    <definedName name="СП_20271101_f9883edd0bfd11f183c6005056b5170a">'Данные бюджета'!$M$28</definedName>
    <definedName name="СП_20271101_fc80b55ac7cc11f083a1005056b5170a">'Данные бюджета'!$M$69</definedName>
    <definedName name="СП_20271101_fdbd26b794dc11ee8376005056a1be4c">'Данные бюджета'!$M$112</definedName>
    <definedName name="СП_20271101_feb6a2a0c7cd11f1863a005056b5e863">'Данные бюджета'!$M$31</definedName>
    <definedName name="СП_20271101_feb6a2a7c7cd11f1863a005056b5e863">'Данные бюджета'!$M$63</definedName>
    <definedName name="СП_20271101_feb6a2afc7cd11f1863a005056b5e863">'Данные бюджета'!$M$71</definedName>
    <definedName name="СП_20271101_feb6a2e0c7cd11f1863a005056b5e863">'Данные бюджета'!$M$81</definedName>
    <definedName name="СП_20271101_feb6a30bc7cd11f1863a005056b5e863">'Данные бюджета'!$M$85</definedName>
    <definedName name="СП_20271101_feb6a310c7cd11f1863a005056b5e863">'Данные бюджета'!$M$90</definedName>
    <definedName name="СП_20271101_feb6a316c7cd11f1863a005056b5e863">'Данные бюджета'!$M$96</definedName>
    <definedName name="СП_20271101_feb6a31dc7cd11f1863a005056b5e863">'Данные бюджета'!$M$109</definedName>
    <definedName name="СП_20271101_feb6a325c7cd11f1863a005056b5e863">'Данные бюджета'!$M$117</definedName>
    <definedName name="СП_20271101_feb6a328c7cd11f1863a005056b5e863">'Данные бюджета'!$M$120</definedName>
    <definedName name="СП_20271101_feb6a32bc7cd11f1863a005056b5e863">'Данные бюджета'!$M$123</definedName>
    <definedName name="СП_20271101_feb6a332c7cd11f1863a005056b5e863">'Данные бюджета'!$M$130</definedName>
    <definedName name="СП_20271101_feb6a339c7cd11f1863a005056b5e863">'Данные бюджета'!$M$137</definedName>
    <definedName name="СП_20271101_feb6a33dc7cd11f1863a005056b5e863">'Данные бюджета'!$M$141</definedName>
    <definedName name="СП_20271101_ffc1afcac85811f083a1005056b5170a">'Данные бюджета'!$M$128</definedName>
    <definedName name="СП_20271201_018a9487c7b411f083a1005056b5170a">'Данные бюджета'!$N$40</definedName>
    <definedName name="СП_20271201_036681dbc84811f083a1005056b5170a">'Данные бюджета'!$N$122</definedName>
    <definedName name="СП_20271201_03e74c0fc7d911f083a1005056b5170a">'Данные бюджета'!$N$102</definedName>
    <definedName name="СП_20271201_05104b79c7a811f083a1005056b5170a">'Данные бюджета'!$N$21</definedName>
    <definedName name="СП_20271201_0bb19101c85911f083a1005056b5170a">'Данные бюджета'!$N$129</definedName>
    <definedName name="СП_20271201_0db71d62c84611f083a1005056b5170a">'Данные бюджета'!$N$114</definedName>
    <definedName name="СП_20271201_1421d8301d4811f183c7005056b5170a">'Данные бюджета'!$N$23</definedName>
    <definedName name="СП_20271201_163680a8c7d611f083a1005056b5170a">'Данные бюджета'!$N$73</definedName>
    <definedName name="СП_20271201_16fb1a53c7a811f083a1005056b5170a">'Данные бюджета'!$N$22</definedName>
    <definedName name="СП_20271201_184a45cfc7d711f083a1005056b5170a">'Данные бюджета'!$N$86</definedName>
    <definedName name="СП_20271201_196bb604c7b411f083a1005056b5170a">'Данные бюджета'!$N$41</definedName>
    <definedName name="СП_20271201_1a614068928811ee8376005056a1be4c">'Данные бюджета'!$N$14</definedName>
    <definedName name="СП_20271201_1a684706c84611f083a1005056b5170a">'Данные бюджета'!$N$115</definedName>
    <definedName name="СП_20271201_1daed84fc7b511f083a1005056b5170a">'Данные бюджета'!$N$45</definedName>
    <definedName name="СП_20271201_22a01918c7aa11f083a1005056b5170a">'Данные бюджета'!$N$32</definedName>
    <definedName name="СП_20271201_25fb3b91c7d611f083a1005056b5170a">'Данные бюджета'!$N$74</definedName>
    <definedName name="СП_20271201_271acd8d928811ee8376005056a1be4c">'Данные бюджета'!$N$10</definedName>
    <definedName name="СП_20271201_28c78a1ec7d711f083a1005056b5170a">'Данные бюджета'!$N$87</definedName>
    <definedName name="СП_20271201_2f74b944c7d811f083a1005056b5170a">'Данные бюджета'!$N$94</definedName>
    <definedName name="СП_20271201_31632d0cc7d611f083a1005056b5170a">'Данные бюджета'!$N$75</definedName>
    <definedName name="СП_20271201_33d4cd4f213211f183c7005056b5170a">'Данные бюджета'!$N$138</definedName>
    <definedName name="СП_20271201_34aab0c2990f11ef8384005056b5170a">'Данные бюджета'!$N$57</definedName>
    <definedName name="СП_20271201_355043d4c7d711f083a1005056b5170a">'Данные бюджета'!$N$88</definedName>
    <definedName name="СП_20271201_389f4057c7cb11f083a1005056b5170a">'Данные бюджета'!$N$62</definedName>
    <definedName name="СП_20271201_3a95d75e928a11ee8376005056a1be4c">'Данные бюджета'!$N$16</definedName>
    <definedName name="СП_20271201_3bd8087fc7d611f083a1005056b5170a">'Данные бюджета'!$N$76</definedName>
    <definedName name="СП_20271201_3c712981dfb011e982ef005056a1be4c">'Данные бюджета'!$N$108</definedName>
    <definedName name="СП_20271201_3f2ff9d6a5b011ef8384005056b5170a">'Данные бюджета'!$N$93</definedName>
    <definedName name="СП_20271201_445c2761c7b511f083a1005056b5170a">'Данные бюджета'!$N$46</definedName>
    <definedName name="СП_20271201_4613411b213211f183c7005056b5170a">'Данные бюджета'!$N$140</definedName>
    <definedName name="СП_20271201_46829e96c7d711f083a1005056b5170a">'Данные бюджета'!$N$89</definedName>
    <definedName name="СП_20271201_477830aa94da11ee8376005056a1be4c">'Данные бюджета'!$N$55</definedName>
    <definedName name="СП_20271201_483ec6637b9911f18638005056b5e863">'Данные бюджета'!$N$139</definedName>
    <definedName name="СП_20271201_49fa47b0c7d611f083a1005056b5170a">'Данные бюджета'!$N$78</definedName>
    <definedName name="СП_20271201_55eb4f8fc7d611f083a1005056b5170a">'Данные бюджета'!$N$79</definedName>
    <definedName name="СП_20271201_584645171d5511f183c7005056b5170a">'Данные бюджета'!$N$24</definedName>
    <definedName name="СП_20271201_5b33182ac7b611f083a1005056b5170a">'Данные бюджета'!$N$49</definedName>
    <definedName name="СП_20271201_5e534b9ac7aa11f083a1005056b5170a">'Данные бюджета'!$N$33</definedName>
    <definedName name="СП_20271201_6244c5e8c84711f083a1005056b5170a">'Данные бюджета'!$N$118</definedName>
    <definedName name="СП_20271201_6277513ac7b711f083a1005056b5170a">'Данные бюджета'!$N$56</definedName>
    <definedName name="СП_20271201_63f6fb3ae48911f083a6005056b5170a">'Данные бюджета'!$N$36</definedName>
    <definedName name="СП_20271201_6dcdcaa9c7d611f083a1005056b5170a">'Данные бюджета'!$N$80</definedName>
    <definedName name="СП_20271201_6ec5bd18c7aa11f083a1005056b5170a">'Данные бюджета'!$N$34</definedName>
    <definedName name="СП_20271201_74e570081d4811f183c7005056b5170a">'Данные бюджета'!$N$29</definedName>
    <definedName name="СП_20271201_77e5b212695b11f18638005056b5e863">'Данные бюджета'!$N$142</definedName>
    <definedName name="СП_20271201_7c5e7d4fc7aa11f083a1005056b5170a">'Данные бюджета'!$N$35</definedName>
    <definedName name="СП_20271201_806711dd1d5511f183c7005056b5170a">'Данные бюджета'!$N$25</definedName>
    <definedName name="СП_20271201_85aa1e2d1d4f11f183c7005056b5170a">'Данные бюджета'!$N$113</definedName>
    <definedName name="СП_20271201_8e478e15c7aa11f083a1005056b5170a">'Данные бюджета'!$N$37</definedName>
    <definedName name="СП_20271201_9205e61ac7a011f083a1005056b5170a">'Данные бюджета'!$N$12</definedName>
    <definedName name="СП_20271201_93e92e58c94711f083a3005056b5170a">'Данные бюджета'!$N$111</definedName>
    <definedName name="СП_20271201_953ba8c5695b11f18638005056b5e863">'Данные бюджета'!$N$143</definedName>
    <definedName name="СП_20271201_9de962cac84711f083a1005056b5170a">'Данные бюджета'!$N$119</definedName>
    <definedName name="СП_20271201_9e642f621d4f11f183c7005056b5170a">'Данные бюджета'!$N$116</definedName>
    <definedName name="СП_20271201_a477ec4f545211f183c8005056b5170a">'Данные бюджета'!$N$27</definedName>
    <definedName name="СП_20271201_aa40973a1d4a11f183c7005056b5170a">'Данные бюджета'!$N$95</definedName>
    <definedName name="СП_20271201_ab1ef3c9c7cc11f083a1005056b5170a">'Данные бюджета'!$N$64</definedName>
    <definedName name="СП_20271201_ab6bfd2cc7d811f083a1005056b5170a">'Данные бюджета'!$N$97</definedName>
    <definedName name="СП_20271201_b1def38f1d5511f183c7005056b5170a">'Данные бюджета'!$N$26</definedName>
    <definedName name="СП_20271201_b3b0d47f1d5011f183c7005056b5170a">'Данные бюджета'!$N$127</definedName>
    <definedName name="СП_20271201_b414fc5ac85811f083a1005056b5170a">'Данные бюджета'!$N$124</definedName>
    <definedName name="СП_20271201_b438366e4cd911e680db005056a1088b">'Данные бюджета'!$N$11</definedName>
    <definedName name="СП_20271201_b4431256c7a611f083a1005056b5170a">'Данные бюджета'!$N$18</definedName>
    <definedName name="СП_20271201_bc7a7d01c7d811f083a1005056b5170a">'Данные бюджета'!$N$98</definedName>
    <definedName name="СП_20271201_be8eb25fc7cc11f083a1005056b5170a">'Данные бюджета'!$N$65</definedName>
    <definedName name="СП_20271201_bf6525441d5111f183c7005056b5170a">'Данные бюджета'!$N$131</definedName>
    <definedName name="СП_20271201_c0422569c7d611f083a1005056b5170a">'Данные бюджета'!$N$82</definedName>
    <definedName name="СП_20271201_c4d393ccc85911f083a1005056b5170a">'Данные бюджета'!$N$132</definedName>
    <definedName name="СП_20271201_c64e660926bd11f183c7005056b5170a">'Данные бюджета'!$N$77</definedName>
    <definedName name="СП_20271201_c7add6cc6a4811e4805ad4ae526f013e">'Данные бюджета'!$N$54</definedName>
    <definedName name="СП_20271201_c7add6cd6a4811e4805ad4ae526f013e">'Данные бюджета'!$N$107</definedName>
    <definedName name="СП_20271201_c7add6d06a4811e4805ad4ae526f013e">'Данные бюджета'!$N$43</definedName>
    <definedName name="СП_20271201_c7add6d26a4811e4805ad4ae526f013e">'Данные бюджета'!$N$48</definedName>
    <definedName name="СП_20271201_c7add6d36a4811e4805ad4ae526f013e">'Данные бюджета'!$N$47</definedName>
    <definedName name="СП_20271201_c7add6d46a4811e4805ad4ae526f013e">'Данные бюджета'!$N$42</definedName>
    <definedName name="СП_20271201_c7add6d76a4811e4805ad4ae526f013e">'Данные бюджета'!$N$39</definedName>
    <definedName name="СП_20271201_c7add6ea6a4811e4805ad4ae526f013e">'Данные бюджета'!$N$7</definedName>
    <definedName name="СП_20271201_c7add6ed6a4811e4805ad4ae526f013e">'Данные бюджета'!$N$9</definedName>
    <definedName name="СП_20271201_c7add6f66a4811e4805ad4ae526f013e">'Данные бюджета'!$N$15</definedName>
    <definedName name="СП_20271201_c7add6f76a4811e4805ad4ae526f013e">'Данные бюджета'!$N$13</definedName>
    <definedName name="СП_20271201_c7add6ff6a4811e4805ad4ae526f013e">'Данные бюджета'!$N$104</definedName>
    <definedName name="СП_20271201_c7add7016a4811e4805ad4ae526f013e">'Данные бюджета'!$N$106</definedName>
    <definedName name="СП_20271201_c7add7026a4811e4805ad4ae526f013e">'Данные бюджета'!$N$105</definedName>
    <definedName name="СП_20271201_c7add7046a4811e4805ad4ae526f013e">'Данные бюджета'!$N$52</definedName>
    <definedName name="СП_20271201_c7add7056a4811e4805ad4ae526f013e">'Данные бюджета'!$N$50</definedName>
    <definedName name="СП_20271201_c7add7066a4811e4805ad4ae526f013e">'Данные бюджета'!$N$53</definedName>
    <definedName name="СП_20271201_c7add7076a4811e4805ad4ae526f013e">'Данные бюджета'!$N$61</definedName>
    <definedName name="СП_20271201_c7add7266a4811e4805ad4ae526f013e">'Данные бюджета'!$N$51</definedName>
    <definedName name="СП_20271201_cc91985fc7d811f083a1005056b5170a">'Данные бюджета'!$N$99</definedName>
    <definedName name="СП_20271201_ccbf0ec5c7cc11f083a1005056b5170a">'Данные бюджета'!$N$66</definedName>
    <definedName name="СП_20271201_ce12a12494db11ee8376005056a1be4c">'Данные бюджета'!$N$60</definedName>
    <definedName name="СП_20271201_d0ff26e8c84511f083a1005056b5170a">'Данные бюджета'!$N$110</definedName>
    <definedName name="СП_20271201_d1196183c7d611f083a1005056b5170a">'Данные бюджета'!$N$83</definedName>
    <definedName name="СП_20271201_d450ad9cc84311f083a1005056b5170a">'Данные бюджета'!$N$134</definedName>
    <definedName name="СП_20271201_d56e8e951d4911f183c7005056b5170a">'Данные бюджета'!$N$70</definedName>
    <definedName name="СП_20271201_d9a415b3c7d611f083a1005056b5170a">'Данные бюджета'!$N$84</definedName>
    <definedName name="СП_20271201_dc23c215c7d511f083a1005056b5170a">'Данные бюджета'!$N$72</definedName>
    <definedName name="СП_20271201_de2933d4c85911f083a1005056b5170a">'Данные бюджета'!$N$133</definedName>
    <definedName name="СП_20271201_e0d93d37c7cc11f083a1005056b5170a">'Данные бюджета'!$N$67</definedName>
    <definedName name="СП_20271201_e21f8f63c7d711f083a1005056b5170a">'Данные бюджета'!$N$91</definedName>
    <definedName name="СП_20271201_e47771ec94dc11ee8376005056a1be4c">'Данные бюджета'!$N$20</definedName>
    <definedName name="СП_20271201_e5e5c84ec7d811f083a1005056b5170a">'Данные бюджета'!$N$100</definedName>
    <definedName name="СП_20271201_e7dd9c1c94db11ee8376005056a1be4c">'Данные бюджета'!$N$59</definedName>
    <definedName name="СП_20271201_eaf11e23c85911f083a1005056b5170a">'Данные бюджета'!$N$135</definedName>
    <definedName name="СП_20271201_ec74db8b1d5011f183c7005056b5170a">'Данные бюджета'!$N$125</definedName>
    <definedName name="СП_20271201_eda9216ec7cc11f083a1005056b5170a">'Данные бюджета'!$N$68</definedName>
    <definedName name="СП_20271201_f15872d1c7d811f083a1005056b5170a">'Данные бюджета'!$N$101</definedName>
    <definedName name="СП_20271201_f3278a99c7a711f083a1005056b5170a">'Данные бюджета'!$N$19</definedName>
    <definedName name="СП_20271201_f38ae66bc7d711f083a1005056b5170a">'Данные бюджета'!$N$92</definedName>
    <definedName name="СП_20271201_f3d09913c85811f083a1005056b5170a">'Данные бюджета'!$N$126</definedName>
    <definedName name="СП_20271201_f3f3b17d1d4911f183c7005056b5170a">'Данные бюджета'!$N$136</definedName>
    <definedName name="СП_20271201_f6bf7d1ec7b411f083a1005056b5170a">'Данные бюджета'!$N$44</definedName>
    <definedName name="СП_20271201_f8b81fd3c7cd11f1863a005056b5e863">'Данные бюджета'!$N$5</definedName>
    <definedName name="СП_20271201_f8b81fd4c7cd11f1863a005056b5e863">'Данные бюджета'!$N$6</definedName>
    <definedName name="СП_20271201_f8b81fd7c7cd11f1863a005056b5e863">'Данные бюджета'!$N$8</definedName>
    <definedName name="СП_20271201_f8b81fdfc7cd11f1863a005056b5e863">'Данные бюджета'!$N$17</definedName>
    <definedName name="СП_20271201_f8b81ffcc7cd11f1863a005056b5e863">'Данные бюджета'!$N$30</definedName>
    <definedName name="СП_20271201_f8b81ffdc7cd11f1863a005056b5e863">'Данные бюджета'!$N$103</definedName>
    <definedName name="СП_20271201_f8b82002c7cd11f1863a005056b5e863">'Данные бюджета'!$N$58</definedName>
    <definedName name="СП_20271201_f8b82007c7cd11f1863a005056b5e863">'Данные бюджета'!$N$38</definedName>
    <definedName name="СП_20271201_f92069c8c84711f083a1005056b5170a">'Данные бюджета'!$N$121</definedName>
    <definedName name="СП_20271201_f9883edd0bfd11f183c6005056b5170a">'Данные бюджета'!$N$28</definedName>
    <definedName name="СП_20271201_fc80b55ac7cc11f083a1005056b5170a">'Данные бюджета'!$N$69</definedName>
    <definedName name="СП_20271201_fdbd26b794dc11ee8376005056a1be4c">'Данные бюджета'!$N$112</definedName>
    <definedName name="СП_20271201_feb6a2a0c7cd11f1863a005056b5e863">'Данные бюджета'!$N$31</definedName>
    <definedName name="СП_20271201_feb6a2a7c7cd11f1863a005056b5e863">'Данные бюджета'!$N$63</definedName>
    <definedName name="СП_20271201_feb6a2afc7cd11f1863a005056b5e863">'Данные бюджета'!$N$71</definedName>
    <definedName name="СП_20271201_feb6a2e0c7cd11f1863a005056b5e863">'Данные бюджета'!$N$81</definedName>
    <definedName name="СП_20271201_feb6a30bc7cd11f1863a005056b5e863">'Данные бюджета'!$N$85</definedName>
    <definedName name="СП_20271201_feb6a310c7cd11f1863a005056b5e863">'Данные бюджета'!$N$90</definedName>
    <definedName name="СП_20271201_feb6a316c7cd11f1863a005056b5e863">'Данные бюджета'!$N$96</definedName>
    <definedName name="СП_20271201_feb6a31dc7cd11f1863a005056b5e863">'Данные бюджета'!$N$109</definedName>
    <definedName name="СП_20271201_feb6a325c7cd11f1863a005056b5e863">'Данные бюджета'!$N$117</definedName>
    <definedName name="СП_20271201_feb6a328c7cd11f1863a005056b5e863">'Данные бюджета'!$N$120</definedName>
    <definedName name="СП_20271201_feb6a32bc7cd11f1863a005056b5e863">'Данные бюджета'!$N$123</definedName>
    <definedName name="СП_20271201_feb6a332c7cd11f1863a005056b5e863">'Данные бюджета'!$N$130</definedName>
    <definedName name="СП_20271201_feb6a339c7cd11f1863a005056b5e863">'Данные бюджета'!$N$137</definedName>
    <definedName name="СП_20271201_feb6a33dc7cd11f1863a005056b5e863">'Данные бюджета'!$N$141</definedName>
    <definedName name="СП_20271201_ffc1afcac85811f083a1005056b5170a">'Данные бюджета'!$N$128</definedName>
    <definedName name="СП_Итог_018a9487c7b411f083a1005056b5170a">'Данные бюджета'!$O$40</definedName>
    <definedName name="СП_Итог_036681dbc84811f083a1005056b5170a">'Данные бюджета'!$O$122</definedName>
    <definedName name="СП_Итог_03e74c0fc7d911f083a1005056b5170a">'Данные бюджета'!$O$102</definedName>
    <definedName name="СП_Итог_05104b79c7a811f083a1005056b5170a">'Данные бюджета'!$O$21</definedName>
    <definedName name="СП_Итог_0bb19101c85911f083a1005056b5170a">'Данные бюджета'!$O$129</definedName>
    <definedName name="СП_Итог_0db71d62c84611f083a1005056b5170a">'Данные бюджета'!$O$114</definedName>
    <definedName name="СП_Итог_1421d8301d4811f183c7005056b5170a">'Данные бюджета'!$O$23</definedName>
    <definedName name="СП_Итог_163680a8c7d611f083a1005056b5170a">'Данные бюджета'!$O$73</definedName>
    <definedName name="СП_Итог_16fb1a53c7a811f083a1005056b5170a">'Данные бюджета'!$O$22</definedName>
    <definedName name="СП_Итог_184a45cfc7d711f083a1005056b5170a">'Данные бюджета'!$O$86</definedName>
    <definedName name="СП_Итог_196bb604c7b411f083a1005056b5170a">'Данные бюджета'!$O$41</definedName>
    <definedName name="СП_Итог_1a614068928811ee8376005056a1be4c">'Данные бюджета'!$O$14</definedName>
    <definedName name="СП_Итог_1a684706c84611f083a1005056b5170a">'Данные бюджета'!$O$115</definedName>
    <definedName name="СП_Итог_1daed84fc7b511f083a1005056b5170a">'Данные бюджета'!$O$45</definedName>
    <definedName name="СП_Итог_22a01918c7aa11f083a1005056b5170a">'Данные бюджета'!$O$32</definedName>
    <definedName name="СП_Итог_25fb3b91c7d611f083a1005056b5170a">'Данные бюджета'!$O$74</definedName>
    <definedName name="СП_Итог_271acd8d928811ee8376005056a1be4c">'Данные бюджета'!$O$10</definedName>
    <definedName name="СП_Итог_28c78a1ec7d711f083a1005056b5170a">'Данные бюджета'!$O$87</definedName>
    <definedName name="СП_Итог_2f74b944c7d811f083a1005056b5170a">'Данные бюджета'!$O$94</definedName>
    <definedName name="СП_Итог_31632d0cc7d611f083a1005056b5170a">'Данные бюджета'!$O$75</definedName>
    <definedName name="СП_Итог_33d4cd4f213211f183c7005056b5170a">'Данные бюджета'!$O$138</definedName>
    <definedName name="СП_Итог_34aab0c2990f11ef8384005056b5170a">'Данные бюджета'!$O$57</definedName>
    <definedName name="СП_Итог_355043d4c7d711f083a1005056b5170a">'Данные бюджета'!$O$88</definedName>
    <definedName name="СП_Итог_389f4057c7cb11f083a1005056b5170a">'Данные бюджета'!$O$62</definedName>
    <definedName name="СП_Итог_3a95d75e928a11ee8376005056a1be4c">'Данные бюджета'!$O$16</definedName>
    <definedName name="СП_Итог_3bd8087fc7d611f083a1005056b5170a">'Данные бюджета'!$O$76</definedName>
    <definedName name="СП_Итог_3c712981dfb011e982ef005056a1be4c">'Данные бюджета'!$O$108</definedName>
    <definedName name="СП_Итог_3f2ff9d6a5b011ef8384005056b5170a">'Данные бюджета'!$O$93</definedName>
    <definedName name="СП_Итог_445c2761c7b511f083a1005056b5170a">'Данные бюджета'!$O$46</definedName>
    <definedName name="СП_Итог_4613411b213211f183c7005056b5170a">'Данные бюджета'!$O$140</definedName>
    <definedName name="СП_Итог_46829e96c7d711f083a1005056b5170a">'Данные бюджета'!$O$89</definedName>
    <definedName name="СП_Итог_477830aa94da11ee8376005056a1be4c">'Данные бюджета'!$O$55</definedName>
    <definedName name="СП_Итог_483ec6637b9911f18638005056b5e863">'Данные бюджета'!$O$139</definedName>
    <definedName name="СП_Итог_49fa47b0c7d611f083a1005056b5170a">'Данные бюджета'!$O$78</definedName>
    <definedName name="СП_Итог_55eb4f8fc7d611f083a1005056b5170a">'Данные бюджета'!$O$79</definedName>
    <definedName name="СП_Итог_584645171d5511f183c7005056b5170a">'Данные бюджета'!$O$24</definedName>
    <definedName name="СП_Итог_5b33182ac7b611f083a1005056b5170a">'Данные бюджета'!$O$49</definedName>
    <definedName name="СП_Итог_5e534b9ac7aa11f083a1005056b5170a">'Данные бюджета'!$O$33</definedName>
    <definedName name="СП_Итог_6244c5e8c84711f083a1005056b5170a">'Данные бюджета'!$O$118</definedName>
    <definedName name="СП_Итог_6277513ac7b711f083a1005056b5170a">'Данные бюджета'!$O$56</definedName>
    <definedName name="СП_Итог_63f6fb3ae48911f083a6005056b5170a">'Данные бюджета'!$O$36</definedName>
    <definedName name="СП_Итог_6dcdcaa9c7d611f083a1005056b5170a">'Данные бюджета'!$O$80</definedName>
    <definedName name="СП_Итог_6ec5bd18c7aa11f083a1005056b5170a">'Данные бюджета'!$O$34</definedName>
    <definedName name="СП_Итог_74e570081d4811f183c7005056b5170a">'Данные бюджета'!$O$29</definedName>
    <definedName name="СП_Итог_77e5b212695b11f18638005056b5e863">'Данные бюджета'!$O$142</definedName>
    <definedName name="СП_Итог_7c5e7d4fc7aa11f083a1005056b5170a">'Данные бюджета'!$O$35</definedName>
    <definedName name="СП_Итог_806711dd1d5511f183c7005056b5170a">'Данные бюджета'!$O$25</definedName>
    <definedName name="СП_Итог_85aa1e2d1d4f11f183c7005056b5170a">'Данные бюджета'!$O$113</definedName>
    <definedName name="СП_Итог_8e478e15c7aa11f083a1005056b5170a">'Данные бюджета'!$O$37</definedName>
    <definedName name="СП_Итог_9205e61ac7a011f083a1005056b5170a">'Данные бюджета'!$O$12</definedName>
    <definedName name="СП_Итог_93e92e58c94711f083a3005056b5170a">'Данные бюджета'!$O$111</definedName>
    <definedName name="СП_Итог_953ba8c5695b11f18638005056b5e863">'Данные бюджета'!$O$143</definedName>
    <definedName name="СП_Итог_9de962cac84711f083a1005056b5170a">'Данные бюджета'!$O$119</definedName>
    <definedName name="СП_Итог_9e642f621d4f11f183c7005056b5170a">'Данные бюджета'!$O$116</definedName>
    <definedName name="СП_Итог_a477ec4f545211f183c8005056b5170a">'Данные бюджета'!$O$27</definedName>
    <definedName name="СП_Итог_aa40973a1d4a11f183c7005056b5170a">'Данные бюджета'!$O$95</definedName>
    <definedName name="СП_Итог_ab1ef3c9c7cc11f083a1005056b5170a">'Данные бюджета'!$O$64</definedName>
    <definedName name="СП_Итог_ab6bfd2cc7d811f083a1005056b5170a">'Данные бюджета'!$O$97</definedName>
    <definedName name="СП_Итог_b1def38f1d5511f183c7005056b5170a">'Данные бюджета'!$O$26</definedName>
    <definedName name="СП_Итог_b3b0d47f1d5011f183c7005056b5170a">'Данные бюджета'!$O$127</definedName>
    <definedName name="СП_Итог_b414fc5ac85811f083a1005056b5170a">'Данные бюджета'!$O$124</definedName>
    <definedName name="СП_Итог_b438366e4cd911e680db005056a1088b">'Данные бюджета'!$O$11</definedName>
    <definedName name="СП_Итог_b4431256c7a611f083a1005056b5170a">'Данные бюджета'!$O$18</definedName>
    <definedName name="СП_Итог_bc7a7d01c7d811f083a1005056b5170a">'Данные бюджета'!$O$98</definedName>
    <definedName name="СП_Итог_be8eb25fc7cc11f083a1005056b5170a">'Данные бюджета'!$O$65</definedName>
    <definedName name="СП_Итог_bf6525441d5111f183c7005056b5170a">'Данные бюджета'!$O$131</definedName>
    <definedName name="СП_Итог_c0422569c7d611f083a1005056b5170a">'Данные бюджета'!$O$82</definedName>
    <definedName name="СП_Итог_c4d393ccc85911f083a1005056b5170a">'Данные бюджета'!$O$132</definedName>
    <definedName name="СП_Итог_c64e660926bd11f183c7005056b5170a">'Данные бюджета'!$O$77</definedName>
    <definedName name="СП_Итог_c7add6cc6a4811e4805ad4ae526f013e">'Данные бюджета'!$O$54</definedName>
    <definedName name="СП_Итог_c7add6cd6a4811e4805ad4ae526f013e">'Данные бюджета'!$O$107</definedName>
    <definedName name="СП_Итог_c7add6d06a4811e4805ad4ae526f013e">'Данные бюджета'!$O$43</definedName>
    <definedName name="СП_Итог_c7add6d26a4811e4805ad4ae526f013e">'Данные бюджета'!$O$48</definedName>
    <definedName name="СП_Итог_c7add6d36a4811e4805ad4ae526f013e">'Данные бюджета'!$O$47</definedName>
    <definedName name="СП_Итог_c7add6d46a4811e4805ad4ae526f013e">'Данные бюджета'!$O$42</definedName>
    <definedName name="СП_Итог_c7add6d76a4811e4805ad4ae526f013e">'Данные бюджета'!$O$39</definedName>
    <definedName name="СП_Итог_c7add6ea6a4811e4805ad4ae526f013e">'Данные бюджета'!$O$7</definedName>
    <definedName name="СП_Итог_c7add6ed6a4811e4805ad4ae526f013e">'Данные бюджета'!$O$9</definedName>
    <definedName name="СП_Итог_c7add6f66a4811e4805ad4ae526f013e">'Данные бюджета'!$O$15</definedName>
    <definedName name="СП_Итог_c7add6f76a4811e4805ad4ae526f013e">'Данные бюджета'!$O$13</definedName>
    <definedName name="СП_Итог_c7add6ff6a4811e4805ad4ae526f013e">'Данные бюджета'!$O$104</definedName>
    <definedName name="СП_Итог_c7add7016a4811e4805ad4ae526f013e">'Данные бюджета'!$O$106</definedName>
    <definedName name="СП_Итог_c7add7026a4811e4805ad4ae526f013e">'Данные бюджета'!$O$105</definedName>
    <definedName name="СП_Итог_c7add7046a4811e4805ad4ae526f013e">'Данные бюджета'!$O$52</definedName>
    <definedName name="СП_Итог_c7add7056a4811e4805ad4ae526f013e">'Данные бюджета'!$O$50</definedName>
    <definedName name="СП_Итог_c7add7066a4811e4805ad4ae526f013e">'Данные бюджета'!$O$53</definedName>
    <definedName name="СП_Итог_c7add7076a4811e4805ad4ae526f013e">'Данные бюджета'!$O$61</definedName>
    <definedName name="СП_Итог_c7add7266a4811e4805ad4ae526f013e">'Данные бюджета'!$O$51</definedName>
    <definedName name="СП_Итог_cc91985fc7d811f083a1005056b5170a">'Данные бюджета'!$O$99</definedName>
    <definedName name="СП_Итог_ccbf0ec5c7cc11f083a1005056b5170a">'Данные бюджета'!$O$66</definedName>
    <definedName name="СП_Итог_ce12a12494db11ee8376005056a1be4c">'Данные бюджета'!$O$60</definedName>
    <definedName name="СП_Итог_d0ff26e8c84511f083a1005056b5170a">'Данные бюджета'!$O$110</definedName>
    <definedName name="СП_Итог_d1196183c7d611f083a1005056b5170a">'Данные бюджета'!$O$83</definedName>
    <definedName name="СП_Итог_d450ad9cc84311f083a1005056b5170a">'Данные бюджета'!$O$134</definedName>
    <definedName name="СП_Итог_d56e8e951d4911f183c7005056b5170a">'Данные бюджета'!$O$70</definedName>
    <definedName name="СП_Итог_d9a415b3c7d611f083a1005056b5170a">'Данные бюджета'!$O$84</definedName>
    <definedName name="СП_Итог_dc23c215c7d511f083a1005056b5170a">'Данные бюджета'!$O$72</definedName>
    <definedName name="СП_Итог_de2933d4c85911f083a1005056b5170a">'Данные бюджета'!$O$133</definedName>
    <definedName name="СП_Итог_e0d93d37c7cc11f083a1005056b5170a">'Данные бюджета'!$O$67</definedName>
    <definedName name="СП_Итог_e21f8f63c7d711f083a1005056b5170a">'Данные бюджета'!$O$91</definedName>
    <definedName name="СП_Итог_e47771ec94dc11ee8376005056a1be4c">'Данные бюджета'!$O$20</definedName>
    <definedName name="СП_Итог_e5e5c84ec7d811f083a1005056b5170a">'Данные бюджета'!$O$100</definedName>
    <definedName name="СП_Итог_e7dd9c1c94db11ee8376005056a1be4c">'Данные бюджета'!$O$59</definedName>
    <definedName name="СП_Итог_eaf11e23c85911f083a1005056b5170a">'Данные бюджета'!$O$135</definedName>
    <definedName name="СП_Итог_ec74db8b1d5011f183c7005056b5170a">'Данные бюджета'!$O$125</definedName>
    <definedName name="СП_Итог_eda9216ec7cc11f083a1005056b5170a">'Данные бюджета'!$O$68</definedName>
    <definedName name="СП_Итог_f15872d1c7d811f083a1005056b5170a">'Данные бюджета'!$O$101</definedName>
    <definedName name="СП_Итог_f3278a99c7a711f083a1005056b5170a">'Данные бюджета'!$O$19</definedName>
    <definedName name="СП_Итог_f38ae66bc7d711f083a1005056b5170a">'Данные бюджета'!$O$92</definedName>
    <definedName name="СП_Итог_f3d09913c85811f083a1005056b5170a">'Данные бюджета'!$O$126</definedName>
    <definedName name="СП_Итог_f3f3b17d1d4911f183c7005056b5170a">'Данные бюджета'!$O$136</definedName>
    <definedName name="СП_Итог_f6bf7d1ec7b411f083a1005056b5170a">'Данные бюджета'!$O$44</definedName>
    <definedName name="СП_Итог_f8b81fd3c7cd11f1863a005056b5e863">'Данные бюджета'!$O$5</definedName>
    <definedName name="СП_Итог_f8b81fd4c7cd11f1863a005056b5e863">'Данные бюджета'!$O$6</definedName>
    <definedName name="СП_Итог_f8b81fd7c7cd11f1863a005056b5e863">'Данные бюджета'!$O$8</definedName>
    <definedName name="СП_Итог_f8b81fdfc7cd11f1863a005056b5e863">'Данные бюджета'!$O$17</definedName>
    <definedName name="СП_Итог_f8b81ffcc7cd11f1863a005056b5e863">'Данные бюджета'!$O$30</definedName>
    <definedName name="СП_Итог_f8b81ffdc7cd11f1863a005056b5e863">'Данные бюджета'!$O$103</definedName>
    <definedName name="СП_Итог_f8b82002c7cd11f1863a005056b5e863">'Данные бюджета'!$O$58</definedName>
    <definedName name="СП_Итог_f8b82007c7cd11f1863a005056b5e863">'Данные бюджета'!$O$38</definedName>
    <definedName name="СП_Итог_f92069c8c84711f083a1005056b5170a">'Данные бюджета'!$O$121</definedName>
    <definedName name="СП_Итог_f9883edd0bfd11f183c6005056b5170a">'Данные бюджета'!$O$28</definedName>
    <definedName name="СП_Итог_fc80b55ac7cc11f083a1005056b5170a">'Данные бюджета'!$O$69</definedName>
    <definedName name="СП_Итог_fdbd26b794dc11ee8376005056a1be4c">'Данные бюджета'!$O$112</definedName>
    <definedName name="СП_Итог_feb6a2a0c7cd11f1863a005056b5e863">'Данные бюджета'!$O$31</definedName>
    <definedName name="СП_Итог_feb6a2a7c7cd11f1863a005056b5e863">'Данные бюджета'!$O$63</definedName>
    <definedName name="СП_Итог_feb6a2afc7cd11f1863a005056b5e863">'Данные бюджета'!$O$71</definedName>
    <definedName name="СП_Итог_feb6a2e0c7cd11f1863a005056b5e863">'Данные бюджета'!$O$81</definedName>
    <definedName name="СП_Итог_feb6a30bc7cd11f1863a005056b5e863">'Данные бюджета'!$O$85</definedName>
    <definedName name="СП_Итог_feb6a310c7cd11f1863a005056b5e863">'Данные бюджета'!$O$90</definedName>
    <definedName name="СП_Итог_feb6a316c7cd11f1863a005056b5e863">'Данные бюджета'!$O$96</definedName>
    <definedName name="СП_Итог_feb6a31dc7cd11f1863a005056b5e863">'Данные бюджета'!$O$109</definedName>
    <definedName name="СП_Итог_feb6a325c7cd11f1863a005056b5e863">'Данные бюджета'!$O$117</definedName>
    <definedName name="СП_Итог_feb6a328c7cd11f1863a005056b5e863">'Данные бюджета'!$O$120</definedName>
    <definedName name="СП_Итог_feb6a32bc7cd11f1863a005056b5e863">'Данные бюджета'!$O$123</definedName>
    <definedName name="СП_Итог_feb6a332c7cd11f1863a005056b5e863">'Данные бюджета'!$O$130</definedName>
    <definedName name="СП_Итог_feb6a339c7cd11f1863a005056b5e863">'Данные бюджета'!$O$137</definedName>
    <definedName name="СП_Итог_feb6a33dc7cd11f1863a005056b5e863">'Данные бюджета'!$O$141</definedName>
    <definedName name="СП_Итог_ffc1afcac85811f083a1005056b5170a">'Данные бюджета'!$O$128</definedName>
    <definedName name="СтатьяОборотов_1">'Данные бюджета'!$B$5</definedName>
    <definedName name="СтатьяОборотов_10">'Данные бюджета'!$B$14</definedName>
    <definedName name="СтатьяОборотов_100">'Данные бюджета'!$B$104</definedName>
    <definedName name="СтатьяОборотов_101">'Данные бюджета'!$B$105</definedName>
    <definedName name="СтатьяОборотов_102">'Данные бюджета'!$B$106</definedName>
    <definedName name="СтатьяОборотов_103">'Данные бюджета'!$B$107</definedName>
    <definedName name="СтатьяОборотов_104">'Данные бюджета'!$B$108</definedName>
    <definedName name="СтатьяОборотов_105">'Данные бюджета'!$B$109</definedName>
    <definedName name="СтатьяОборотов_106">'Данные бюджета'!$B$110</definedName>
    <definedName name="СтатьяОборотов_107">'Данные бюджета'!$B$111</definedName>
    <definedName name="СтатьяОборотов_108">'Данные бюджета'!$B$112</definedName>
    <definedName name="СтатьяОборотов_109">'Данные бюджета'!$B$113</definedName>
    <definedName name="СтатьяОборотов_11">'Данные бюджета'!$B$15</definedName>
    <definedName name="СтатьяОборотов_110">'Данные бюджета'!$B$114</definedName>
    <definedName name="СтатьяОборотов_111">'Данные бюджета'!$B$115</definedName>
    <definedName name="СтатьяОборотов_112">'Данные бюджета'!$B$116</definedName>
    <definedName name="СтатьяОборотов_113">'Данные бюджета'!$B$117</definedName>
    <definedName name="СтатьяОборотов_114">'Данные бюджета'!$B$118</definedName>
    <definedName name="СтатьяОборотов_115">'Данные бюджета'!$B$119</definedName>
    <definedName name="СтатьяОборотов_116">'Данные бюджета'!$B$120</definedName>
    <definedName name="СтатьяОборотов_117">'Данные бюджета'!$B$121</definedName>
    <definedName name="СтатьяОборотов_118">'Данные бюджета'!$B$122</definedName>
    <definedName name="СтатьяОборотов_119">'Данные бюджета'!$B$123</definedName>
    <definedName name="СтатьяОборотов_12">'Данные бюджета'!$B$16</definedName>
    <definedName name="СтатьяОборотов_120">'Данные бюджета'!$B$124</definedName>
    <definedName name="СтатьяОборотов_121">'Данные бюджета'!$B$125</definedName>
    <definedName name="СтатьяОборотов_122">'Данные бюджета'!$B$126</definedName>
    <definedName name="СтатьяОборотов_123">'Данные бюджета'!$B$127</definedName>
    <definedName name="СтатьяОборотов_124">'Данные бюджета'!$B$128</definedName>
    <definedName name="СтатьяОборотов_125">'Данные бюджета'!$B$129</definedName>
    <definedName name="СтатьяОборотов_126">'Данные бюджета'!$B$130</definedName>
    <definedName name="СтатьяОборотов_127">'Данные бюджета'!$B$131</definedName>
    <definedName name="СтатьяОборотов_128">'Данные бюджета'!$B$132</definedName>
    <definedName name="СтатьяОборотов_129">'Данные бюджета'!$B$133</definedName>
    <definedName name="СтатьяОборотов_13">'Данные бюджета'!$B$17</definedName>
    <definedName name="СтатьяОборотов_130">'Данные бюджета'!$B$134</definedName>
    <definedName name="СтатьяОборотов_131">'Данные бюджета'!$B$135</definedName>
    <definedName name="СтатьяОборотов_132">'Данные бюджета'!$B$136</definedName>
    <definedName name="СтатьяОборотов_133">'Данные бюджета'!$B$137</definedName>
    <definedName name="СтатьяОборотов_134">'Данные бюджета'!$B$138</definedName>
    <definedName name="СтатьяОборотов_135">'Данные бюджета'!$B$139</definedName>
    <definedName name="СтатьяОборотов_136">'Данные бюджета'!$B$140</definedName>
    <definedName name="СтатьяОборотов_137">'Данные бюджета'!$B$141</definedName>
    <definedName name="СтатьяОборотов_138">'Данные бюджета'!$B$142</definedName>
    <definedName name="СтатьяОборотов_139">'Данные бюджета'!$B$143</definedName>
    <definedName name="СтатьяОборотов_14">'Данные бюджета'!$B$18</definedName>
    <definedName name="СтатьяОборотов_15">'Данные бюджета'!$B$19</definedName>
    <definedName name="СтатьяОборотов_16">'Данные бюджета'!$B$20</definedName>
    <definedName name="СтатьяОборотов_17">'Данные бюджета'!$B$21</definedName>
    <definedName name="СтатьяОборотов_18">'Данные бюджета'!$B$22</definedName>
    <definedName name="СтатьяОборотов_19">'Данные бюджета'!$B$23</definedName>
    <definedName name="СтатьяОборотов_2">'Данные бюджета'!$B$6</definedName>
    <definedName name="СтатьяОборотов_20">'Данные бюджета'!$B$24</definedName>
    <definedName name="СтатьяОборотов_21">'Данные бюджета'!$B$25</definedName>
    <definedName name="СтатьяОборотов_22">'Данные бюджета'!$B$26</definedName>
    <definedName name="СтатьяОборотов_23">'Данные бюджета'!$B$27</definedName>
    <definedName name="СтатьяОборотов_24">'Данные бюджета'!$B$28</definedName>
    <definedName name="СтатьяОборотов_25">'Данные бюджета'!$B$29</definedName>
    <definedName name="СтатьяОборотов_26">'Данные бюджета'!$B$30</definedName>
    <definedName name="СтатьяОборотов_27">'Данные бюджета'!$B$31</definedName>
    <definedName name="СтатьяОборотов_28">'Данные бюджета'!$B$32</definedName>
    <definedName name="СтатьяОборотов_29">'Данные бюджета'!$B$33</definedName>
    <definedName name="СтатьяОборотов_3">'Данные бюджета'!$B$7</definedName>
    <definedName name="СтатьяОборотов_30">'Данные бюджета'!$B$34</definedName>
    <definedName name="СтатьяОборотов_31">'Данные бюджета'!$B$35</definedName>
    <definedName name="СтатьяОборотов_32">'Данные бюджета'!$B$36</definedName>
    <definedName name="СтатьяОборотов_33">'Данные бюджета'!$B$37</definedName>
    <definedName name="СтатьяОборотов_34">'Данные бюджета'!$B$38</definedName>
    <definedName name="СтатьяОборотов_35">'Данные бюджета'!$B$39</definedName>
    <definedName name="СтатьяОборотов_36">'Данные бюджета'!$B$40</definedName>
    <definedName name="СтатьяОборотов_37">'Данные бюджета'!$B$41</definedName>
    <definedName name="СтатьяОборотов_38">'Данные бюджета'!$B$42</definedName>
    <definedName name="СтатьяОборотов_39">'Данные бюджета'!$B$43</definedName>
    <definedName name="СтатьяОборотов_4">'Данные бюджета'!$B$8</definedName>
    <definedName name="СтатьяОборотов_40">'Данные бюджета'!$B$44</definedName>
    <definedName name="СтатьяОборотов_41">'Данные бюджета'!$B$45</definedName>
    <definedName name="СтатьяОборотов_42">'Данные бюджета'!$B$46</definedName>
    <definedName name="СтатьяОборотов_43">'Данные бюджета'!$B$47</definedName>
    <definedName name="СтатьяОборотов_44">'Данные бюджета'!$B$48</definedName>
    <definedName name="СтатьяОборотов_45">'Данные бюджета'!$B$49</definedName>
    <definedName name="СтатьяОборотов_46">'Данные бюджета'!$B$50</definedName>
    <definedName name="СтатьяОборотов_47">'Данные бюджета'!$B$51</definedName>
    <definedName name="СтатьяОборотов_48">'Данные бюджета'!$B$52</definedName>
    <definedName name="СтатьяОборотов_49">'Данные бюджета'!$B$53</definedName>
    <definedName name="СтатьяОборотов_5">'Данные бюджета'!$B$9</definedName>
    <definedName name="СтатьяОборотов_50">'Данные бюджета'!$B$54</definedName>
    <definedName name="СтатьяОборотов_51">'Данные бюджета'!$B$55</definedName>
    <definedName name="СтатьяОборотов_52">'Данные бюджета'!$B$56</definedName>
    <definedName name="СтатьяОборотов_53">'Данные бюджета'!$B$57</definedName>
    <definedName name="СтатьяОборотов_54">'Данные бюджета'!$B$58</definedName>
    <definedName name="СтатьяОборотов_55">'Данные бюджета'!$B$59</definedName>
    <definedName name="СтатьяОборотов_56">'Данные бюджета'!$B$60</definedName>
    <definedName name="СтатьяОборотов_57">'Данные бюджета'!$B$61</definedName>
    <definedName name="СтатьяОборотов_58">'Данные бюджета'!$B$62</definedName>
    <definedName name="СтатьяОборотов_59">'Данные бюджета'!$B$63</definedName>
    <definedName name="СтатьяОборотов_6">'Данные бюджета'!$B$10</definedName>
    <definedName name="СтатьяОборотов_60">'Данные бюджета'!$B$64</definedName>
    <definedName name="СтатьяОборотов_61">'Данные бюджета'!$B$65</definedName>
    <definedName name="СтатьяОборотов_62">'Данные бюджета'!$B$66</definedName>
    <definedName name="СтатьяОборотов_63">'Данные бюджета'!$B$67</definedName>
    <definedName name="СтатьяОборотов_64">'Данные бюджета'!$B$68</definedName>
    <definedName name="СтатьяОборотов_65">'Данные бюджета'!$B$69</definedName>
    <definedName name="СтатьяОборотов_66">'Данные бюджета'!$B$70</definedName>
    <definedName name="СтатьяОборотов_67">'Данные бюджета'!$B$71</definedName>
    <definedName name="СтатьяОборотов_68">'Данные бюджета'!$B$72</definedName>
    <definedName name="СтатьяОборотов_69">'Данные бюджета'!$B$73</definedName>
    <definedName name="СтатьяОборотов_7">'Данные бюджета'!$B$11</definedName>
    <definedName name="СтатьяОборотов_70">'Данные бюджета'!$B$74</definedName>
    <definedName name="СтатьяОборотов_71">'Данные бюджета'!$B$75</definedName>
    <definedName name="СтатьяОборотов_72">'Данные бюджета'!$B$76</definedName>
    <definedName name="СтатьяОборотов_73">'Данные бюджета'!$B$77</definedName>
    <definedName name="СтатьяОборотов_74">'Данные бюджета'!$B$78</definedName>
    <definedName name="СтатьяОборотов_75">'Данные бюджета'!$B$79</definedName>
    <definedName name="СтатьяОборотов_76">'Данные бюджета'!$B$80</definedName>
    <definedName name="СтатьяОборотов_77">'Данные бюджета'!$B$81</definedName>
    <definedName name="СтатьяОборотов_78">'Данные бюджета'!$B$82</definedName>
    <definedName name="СтатьяОборотов_79">'Данные бюджета'!$B$83</definedName>
    <definedName name="СтатьяОборотов_8">'Данные бюджета'!$B$12</definedName>
    <definedName name="СтатьяОборотов_80">'Данные бюджета'!$B$84</definedName>
    <definedName name="СтатьяОборотов_81">'Данные бюджета'!$B$85</definedName>
    <definedName name="СтатьяОборотов_82">'Данные бюджета'!$B$86</definedName>
    <definedName name="СтатьяОборотов_83">'Данные бюджета'!$B$87</definedName>
    <definedName name="СтатьяОборотов_84">'Данные бюджета'!$B$88</definedName>
    <definedName name="СтатьяОборотов_85">'Данные бюджета'!$B$89</definedName>
    <definedName name="СтатьяОборотов_86">'Данные бюджета'!$B$90</definedName>
    <definedName name="СтатьяОборотов_87">'Данные бюджета'!$B$91</definedName>
    <definedName name="СтатьяОборотов_88">'Данные бюджета'!$B$92</definedName>
    <definedName name="СтатьяОборотов_89">'Данные бюджета'!$B$93</definedName>
    <definedName name="СтатьяОборотов_9">'Данные бюджета'!$B$13</definedName>
    <definedName name="СтатьяОборотов_90">'Данные бюджета'!$B$94</definedName>
    <definedName name="СтатьяОборотов_91">'Данные бюджета'!$B$95</definedName>
    <definedName name="СтатьяОборотов_92">'Данные бюджета'!$B$96</definedName>
    <definedName name="СтатьяОборотов_93">'Данные бюджета'!$B$97</definedName>
    <definedName name="СтатьяОборотов_94">'Данные бюджета'!$B$98</definedName>
    <definedName name="СтатьяОборотов_95">'Данные бюджета'!$B$99</definedName>
    <definedName name="СтатьяОборотов_96">'Данные бюджета'!$B$100</definedName>
    <definedName name="СтатьяОборотов_97">'Данные бюджета'!$B$101</definedName>
    <definedName name="СтатьяОборотов_98">'Данные бюджета'!$B$102</definedName>
    <definedName name="СтатьяОборотов_99">'Данные бюджета'!$B$103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3" i="2" l="1"/>
  <c r="O142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O140" i="2"/>
  <c r="O139" i="2"/>
  <c r="O138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O136" i="2"/>
  <c r="O135" i="2"/>
  <c r="O134" i="2"/>
  <c r="O133" i="2"/>
  <c r="O132" i="2"/>
  <c r="O131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O129" i="2"/>
  <c r="O128" i="2"/>
  <c r="O127" i="2"/>
  <c r="O126" i="2"/>
  <c r="O125" i="2"/>
  <c r="O124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O122" i="2"/>
  <c r="O121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O119" i="2"/>
  <c r="O118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O116" i="2"/>
  <c r="O115" i="2"/>
  <c r="O114" i="2"/>
  <c r="O113" i="2"/>
  <c r="O112" i="2"/>
  <c r="O111" i="2"/>
  <c r="O110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O108" i="2"/>
  <c r="O107" i="2"/>
  <c r="O106" i="2"/>
  <c r="O105" i="2"/>
  <c r="O104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O102" i="2"/>
  <c r="O101" i="2"/>
  <c r="O100" i="2"/>
  <c r="O99" i="2"/>
  <c r="O98" i="2"/>
  <c r="O97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O95" i="2"/>
  <c r="O94" i="2"/>
  <c r="O93" i="2"/>
  <c r="O92" i="2"/>
  <c r="O91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O89" i="2"/>
  <c r="O88" i="2"/>
  <c r="O87" i="2"/>
  <c r="O86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O84" i="2"/>
  <c r="O83" i="2"/>
  <c r="O82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O80" i="2"/>
  <c r="O79" i="2"/>
  <c r="O78" i="2"/>
  <c r="O77" i="2"/>
  <c r="O76" i="2"/>
  <c r="O75" i="2"/>
  <c r="O74" i="2"/>
  <c r="O73" i="2"/>
  <c r="O72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O70" i="2"/>
  <c r="O69" i="2"/>
  <c r="O68" i="2"/>
  <c r="O67" i="2"/>
  <c r="O66" i="2"/>
  <c r="O65" i="2"/>
  <c r="O64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O62" i="2"/>
  <c r="O61" i="2"/>
  <c r="O60" i="2"/>
  <c r="O59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O37" i="2"/>
  <c r="O36" i="2"/>
  <c r="O35" i="2"/>
  <c r="O34" i="2"/>
  <c r="O33" i="2"/>
  <c r="O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O16" i="2"/>
  <c r="O15" i="2"/>
  <c r="O14" i="2"/>
  <c r="O13" i="2"/>
  <c r="O12" i="2"/>
  <c r="O11" i="2"/>
  <c r="O10" i="2"/>
  <c r="O9" i="2"/>
  <c r="O8" i="2"/>
  <c r="N8" i="2"/>
  <c r="M8" i="2"/>
  <c r="L8" i="2"/>
  <c r="K8" i="2"/>
  <c r="J8" i="2"/>
  <c r="I8" i="2"/>
  <c r="H8" i="2"/>
  <c r="G8" i="2"/>
  <c r="F8" i="2"/>
  <c r="E8" i="2"/>
  <c r="D8" i="2"/>
  <c r="C8" i="2"/>
  <c r="O7" i="2"/>
  <c r="M30" i="2" l="1"/>
  <c r="O30" i="2"/>
  <c r="L30" i="2"/>
  <c r="G30" i="2"/>
  <c r="F30" i="2"/>
  <c r="E30" i="2"/>
  <c r="N30" i="2"/>
  <c r="K30" i="2"/>
  <c r="J30" i="2"/>
  <c r="I30" i="2"/>
  <c r="H30" i="2"/>
  <c r="D30" i="2"/>
  <c r="C30" i="2"/>
  <c r="N6" i="2"/>
  <c r="M6" i="2"/>
  <c r="F6" i="2"/>
  <c r="E6" i="2"/>
  <c r="O6" i="2"/>
  <c r="L6" i="2"/>
  <c r="K6" i="2"/>
  <c r="J6" i="2"/>
  <c r="I6" i="2"/>
  <c r="H6" i="2"/>
  <c r="G6" i="2"/>
  <c r="D6" i="2"/>
  <c r="C6" i="2"/>
  <c r="M5" i="2" l="1"/>
  <c r="G5" i="2"/>
  <c r="L5" i="2"/>
  <c r="F5" i="2"/>
  <c r="C5" i="2"/>
  <c r="O5" i="2"/>
  <c r="N5" i="2"/>
  <c r="J5" i="2"/>
  <c r="I5" i="2"/>
  <c r="H5" i="2"/>
  <c r="E5" i="2"/>
  <c r="D5" i="2"/>
  <c r="K5" i="2"/>
</calcChain>
</file>

<file path=xl/sharedStrings.xml><?xml version="1.0" encoding="utf-8"?>
<sst xmlns="http://schemas.openxmlformats.org/spreadsheetml/2006/main" count="294" uniqueCount="294">
  <si>
    <t>Форма ввода бюджета 00-000113 от 14.10.2026 16:05:37 Выгружено: 14.10.2026</t>
  </si>
  <si>
    <t>Кодификатор</t>
  </si>
  <si>
    <t>Статья оборотов</t>
  </si>
  <si>
    <t>Январь 2027</t>
  </si>
  <si>
    <t>Февраль 2027</t>
  </si>
  <si>
    <t>Март 2027</t>
  </si>
  <si>
    <t>Апрель 2027</t>
  </si>
  <si>
    <t>Май 2027</t>
  </si>
  <si>
    <t>Июнь 2027</t>
  </si>
  <si>
    <t>Июль 2027</t>
  </si>
  <si>
    <t>Август 2027</t>
  </si>
  <si>
    <t>Сентябрь 2027</t>
  </si>
  <si>
    <t>Октябрь 2027</t>
  </si>
  <si>
    <t>Ноябрь 2027</t>
  </si>
  <si>
    <t>Декабрь 2027</t>
  </si>
  <si>
    <t>Итого</t>
  </si>
  <si>
    <t>700.000</t>
  </si>
  <si>
    <t>ДЕЯТЕЛЬНОСТЬ УК</t>
  </si>
  <si>
    <t>701.000</t>
  </si>
  <si>
    <t>Поступления по операционной деятельности УК</t>
  </si>
  <si>
    <t>701.100</t>
  </si>
  <si>
    <t>Поступления от оказания эксплуатационных услуг</t>
  </si>
  <si>
    <t>701.200</t>
  </si>
  <si>
    <t>Поступления от оказания платных услуг</t>
  </si>
  <si>
    <t>701.201</t>
  </si>
  <si>
    <t>Поступление от ДУ (клиентские услуги)</t>
  </si>
  <si>
    <t>701.202</t>
  </si>
  <si>
    <t>Поступление от ДУ (ежемесячное ТО)</t>
  </si>
  <si>
    <t>701.203</t>
  </si>
  <si>
    <t>Поступление от ДУ (клининг)</t>
  </si>
  <si>
    <t>701.204</t>
  </si>
  <si>
    <t>Поступление от ДУ (аренда)</t>
  </si>
  <si>
    <t>701.205</t>
  </si>
  <si>
    <t>Поступление от ДУ (агентские услуги)</t>
  </si>
  <si>
    <t>701.206</t>
  </si>
  <si>
    <t>Поступление от ДУ (наземная парковка)</t>
  </si>
  <si>
    <t>701.300</t>
  </si>
  <si>
    <t>Поступления от оказания коммунальных услуг</t>
  </si>
  <si>
    <t>701.400</t>
  </si>
  <si>
    <t>Поступление взносов на капитальный ремонт</t>
  </si>
  <si>
    <t>701.500</t>
  </si>
  <si>
    <t>Прочие поступления по операционной деятельности УК</t>
  </si>
  <si>
    <t>701.501</t>
  </si>
  <si>
    <t>Штрафы, пени, неустойки к получению</t>
  </si>
  <si>
    <t>701.502</t>
  </si>
  <si>
    <t>Госпошлина к получению</t>
  </si>
  <si>
    <t>701.503</t>
  </si>
  <si>
    <t>Компенсации от застройщика</t>
  </si>
  <si>
    <t>701.504</t>
  </si>
  <si>
    <t>Возмещение ущерба к получению</t>
  </si>
  <si>
    <t>701.505</t>
  </si>
  <si>
    <t>Поступления от сдачи имущества в аренду (субаренду)</t>
  </si>
  <si>
    <t>701.506</t>
  </si>
  <si>
    <t>Финансирование предупредительных мер (ФСС)</t>
  </si>
  <si>
    <t>701.507</t>
  </si>
  <si>
    <t>Поступление по досудебному урегулированию претензий</t>
  </si>
  <si>
    <t>701.508</t>
  </si>
  <si>
    <t>Страховое возмещение к получению</t>
  </si>
  <si>
    <t>701.509</t>
  </si>
  <si>
    <t>Компенсации прочие к получению</t>
  </si>
  <si>
    <t>701.510</t>
  </si>
  <si>
    <t>Поступления от оказания прочих услуг</t>
  </si>
  <si>
    <t>701.600</t>
  </si>
  <si>
    <t>Поступления от перепродажи электроэнергии</t>
  </si>
  <si>
    <t>701.700</t>
  </si>
  <si>
    <t>Поступление обеспечительных платежей</t>
  </si>
  <si>
    <t>702.000</t>
  </si>
  <si>
    <t>Выплаты по операционной деятельности</t>
  </si>
  <si>
    <t>702.0100</t>
  </si>
  <si>
    <t>Расходы на оплату труда</t>
  </si>
  <si>
    <t>702.0101</t>
  </si>
  <si>
    <t>Заработная плата УК</t>
  </si>
  <si>
    <t>702.0102</t>
  </si>
  <si>
    <t>Премиальные и бонусные выплаты УК</t>
  </si>
  <si>
    <t>702.0103</t>
  </si>
  <si>
    <t>НДФЛ с ФОТ УК</t>
  </si>
  <si>
    <t>702.0104</t>
  </si>
  <si>
    <t>Страховые взносы с ФОТ УК</t>
  </si>
  <si>
    <t>702.0105</t>
  </si>
  <si>
    <t>Страховые взносы в ФСС от НС и ПЗ УК</t>
  </si>
  <si>
    <t>702.0106</t>
  </si>
  <si>
    <t>Выплаты по партнерской программе УК</t>
  </si>
  <si>
    <t>702.0200</t>
  </si>
  <si>
    <t>Расходы УК на основные услуги</t>
  </si>
  <si>
    <t>702.0201</t>
  </si>
  <si>
    <t>ТО и ТР лифтов</t>
  </si>
  <si>
    <t>702.0202</t>
  </si>
  <si>
    <t>Техническое освидетельствование лифтов</t>
  </si>
  <si>
    <t>702.0203</t>
  </si>
  <si>
    <t>Страхование лифтов</t>
  </si>
  <si>
    <t>702.0204</t>
  </si>
  <si>
    <t>ТО и ТР противопожарных систем</t>
  </si>
  <si>
    <t>702.0205</t>
  </si>
  <si>
    <t>ТО и ТР систем вентиляции и кондиционирования</t>
  </si>
  <si>
    <t>702.0206</t>
  </si>
  <si>
    <t>ТО и ТР систем безопасности</t>
  </si>
  <si>
    <t>702.0207</t>
  </si>
  <si>
    <t>ТО и ТР систем автоматизации и диспетчеризации</t>
  </si>
  <si>
    <t>702.0208</t>
  </si>
  <si>
    <t>ТО и ТР систем отопления</t>
  </si>
  <si>
    <t>702.0209</t>
  </si>
  <si>
    <t>ТО и ТР систем водоснабжения и канализации</t>
  </si>
  <si>
    <t>702.0210</t>
  </si>
  <si>
    <t>ТО и ТР систем электроснабжения</t>
  </si>
  <si>
    <t>702.0211</t>
  </si>
  <si>
    <t>Прочие работы по инженерному оборудованию</t>
  </si>
  <si>
    <t>702.0212</t>
  </si>
  <si>
    <t>Расходы УК на уборку МОП и территории</t>
  </si>
  <si>
    <t>702.0213</t>
  </si>
  <si>
    <t>Расходы УК на охрану</t>
  </si>
  <si>
    <t>702.0214</t>
  </si>
  <si>
    <t>Расходы УК на текущий ремонт и обслуживание зданий и тер.</t>
  </si>
  <si>
    <t>702.0215</t>
  </si>
  <si>
    <t>Расходы УК на мойку фасадов и альпработы</t>
  </si>
  <si>
    <t>702.0216</t>
  </si>
  <si>
    <t>Расходы УК на ландш. работы, озеленение, МАФ</t>
  </si>
  <si>
    <t>702.0217</t>
  </si>
  <si>
    <t>Расходы УК на мероприятия</t>
  </si>
  <si>
    <t>702.0218</t>
  </si>
  <si>
    <t>Расходы УК на дератизацию и дезинфекцию</t>
  </si>
  <si>
    <t>702.0219</t>
  </si>
  <si>
    <t>Расходы УК на вывоз и утилизацию снега</t>
  </si>
  <si>
    <t>702.0300</t>
  </si>
  <si>
    <t>Расходы УК на дополнительные услуги</t>
  </si>
  <si>
    <t>702.0301</t>
  </si>
  <si>
    <t>Расходы на ДУ (клиентские услуги)</t>
  </si>
  <si>
    <t>702.0302</t>
  </si>
  <si>
    <t>Расходы на ДУ (ежемесячное ТО)</t>
  </si>
  <si>
    <t>702.0303</t>
  </si>
  <si>
    <t>Расходы на ДУ (клининг)</t>
  </si>
  <si>
    <t>702.0304</t>
  </si>
  <si>
    <t>Расходы на ДУ (аренда)</t>
  </si>
  <si>
    <t>702.0400</t>
  </si>
  <si>
    <t>Уплата налогов и сборов УК</t>
  </si>
  <si>
    <t>702.0401</t>
  </si>
  <si>
    <t>НДС к уплате (возмещению) УК</t>
  </si>
  <si>
    <t>702.0402</t>
  </si>
  <si>
    <t>Налог на прибыль УК</t>
  </si>
  <si>
    <t>702.0403</t>
  </si>
  <si>
    <t>Налог УСН УК</t>
  </si>
  <si>
    <t>702.0404</t>
  </si>
  <si>
    <t>Налог транспортный УК</t>
  </si>
  <si>
    <t>702.0405</t>
  </si>
  <si>
    <t>Налог на имущество УК</t>
  </si>
  <si>
    <t>702.0406</t>
  </si>
  <si>
    <t>Налог земельный, аренда земли УК</t>
  </si>
  <si>
    <t>702.0407</t>
  </si>
  <si>
    <t>НДФЛ, налог на прибыль с дивидендов</t>
  </si>
  <si>
    <t>702.0600</t>
  </si>
  <si>
    <t>Расходы на содержание офиса УК</t>
  </si>
  <si>
    <t>702.0601</t>
  </si>
  <si>
    <t>Канцтовары, инвентарь, хозтовары, продукты, вода</t>
  </si>
  <si>
    <t>702.0602</t>
  </si>
  <si>
    <t>Услуги связи</t>
  </si>
  <si>
    <t>702.0603</t>
  </si>
  <si>
    <t>Почтовые, курьерские и транспортные расходы</t>
  </si>
  <si>
    <t>702.0604</t>
  </si>
  <si>
    <t>Обслуживание и ремонт бытовой и оргтехники</t>
  </si>
  <si>
    <t>702.0605</t>
  </si>
  <si>
    <t>Имиджевые расходы</t>
  </si>
  <si>
    <t>702.0606</t>
  </si>
  <si>
    <t>Рекламные расходы</t>
  </si>
  <si>
    <t>702.0607</t>
  </si>
  <si>
    <t>Аренда помещений УК</t>
  </si>
  <si>
    <t>702.0608</t>
  </si>
  <si>
    <t>Коммунальные услуги на собств. нужды УК</t>
  </si>
  <si>
    <t>702.0609</t>
  </si>
  <si>
    <t>Прочие расходы на содержание и ремонт офиса УК</t>
  </si>
  <si>
    <t>702.0700</t>
  </si>
  <si>
    <t>Расходы на ИТ</t>
  </si>
  <si>
    <t>702.0701</t>
  </si>
  <si>
    <t>Содержание сайтов, серверов и сетевого оборудования УК</t>
  </si>
  <si>
    <t>702.0702</t>
  </si>
  <si>
    <t>Услуги разработки/адаптации ПО УК</t>
  </si>
  <si>
    <t>702.0703</t>
  </si>
  <si>
    <t>Подписка и лицензии на ПО УК</t>
  </si>
  <si>
    <t>702.0800</t>
  </si>
  <si>
    <t>Расходы на вспомогательные услуги</t>
  </si>
  <si>
    <t>702.0801</t>
  </si>
  <si>
    <t>Страхование гражданской ответственности УК</t>
  </si>
  <si>
    <t>702.0802</t>
  </si>
  <si>
    <t>Информационно-консультационные услуги УК</t>
  </si>
  <si>
    <t>702.0803</t>
  </si>
  <si>
    <t>Юридические, бухгалтерские и аудиторские услуги</t>
  </si>
  <si>
    <t>702.0804</t>
  </si>
  <si>
    <t>Услуги банка УК</t>
  </si>
  <si>
    <t>702.0900</t>
  </si>
  <si>
    <t>Расходы на персонал УК</t>
  </si>
  <si>
    <t>702.0901</t>
  </si>
  <si>
    <t>Расходы на обучение и подбор персонала</t>
  </si>
  <si>
    <t>702.0902</t>
  </si>
  <si>
    <t>Расходы по охране труда</t>
  </si>
  <si>
    <t>702.0903</t>
  </si>
  <si>
    <t>Расходы на спецодежду и средства защиты</t>
  </si>
  <si>
    <t>702.0904</t>
  </si>
  <si>
    <t>Расходы на компенсации и льготы для персонала</t>
  </si>
  <si>
    <t>702.0905</t>
  </si>
  <si>
    <t>Расходы на ДМС</t>
  </si>
  <si>
    <t>702.1000</t>
  </si>
  <si>
    <t>Расходы на приобретение оборудования и техники</t>
  </si>
  <si>
    <t>702.1001</t>
  </si>
  <si>
    <t>Покупка бытовой техники УК</t>
  </si>
  <si>
    <t>702.1002</t>
  </si>
  <si>
    <t>Покупка мебели УК</t>
  </si>
  <si>
    <t>702.1003</t>
  </si>
  <si>
    <t>Покупка МФУ и оборудования переговорных комнат УК</t>
  </si>
  <si>
    <t>702.1004</t>
  </si>
  <si>
    <t>Покупка пользовательского оборудования УК</t>
  </si>
  <si>
    <t>702.1005</t>
  </si>
  <si>
    <t>Покупка серверного оборудования УК</t>
  </si>
  <si>
    <t>702.1006</t>
  </si>
  <si>
    <t>Покупка сетевого оборудования УК</t>
  </si>
  <si>
    <t>702.1100</t>
  </si>
  <si>
    <t>Расходы на коммунальные ресурсы</t>
  </si>
  <si>
    <t>702.1101</t>
  </si>
  <si>
    <t>Расходы на электроэнергию</t>
  </si>
  <si>
    <t>702.1102</t>
  </si>
  <si>
    <t>Расходы на теплоснабжение, газ</t>
  </si>
  <si>
    <t>702.1103</t>
  </si>
  <si>
    <t>Расходы на водоснабжение и водоотведение</t>
  </si>
  <si>
    <t>702.1104</t>
  </si>
  <si>
    <t>Расходы на вывоз и утилизацию ТКО</t>
  </si>
  <si>
    <t>702.1200</t>
  </si>
  <si>
    <t>Расходы по капитальному ремонту зданий</t>
  </si>
  <si>
    <t>702.1300</t>
  </si>
  <si>
    <t>Прочие выплаты по операционной деятельности</t>
  </si>
  <si>
    <t>702.1301</t>
  </si>
  <si>
    <t>Штрафы, пени, неустойки к уплате</t>
  </si>
  <si>
    <t>702.1302</t>
  </si>
  <si>
    <t>Госпошлина к уплате</t>
  </si>
  <si>
    <t>702.1303</t>
  </si>
  <si>
    <t>Расходы на устранение строительных недостатков</t>
  </si>
  <si>
    <t>702.1304</t>
  </si>
  <si>
    <t>Возмещение ущерба к уплате</t>
  </si>
  <si>
    <t>702.1305</t>
  </si>
  <si>
    <t>Судебные расходы и арбитражные сборы</t>
  </si>
  <si>
    <t>702.1306</t>
  </si>
  <si>
    <t>Материальная помощь</t>
  </si>
  <si>
    <t>702.1307</t>
  </si>
  <si>
    <t>Расходы на будущие проекты</t>
  </si>
  <si>
    <t>703.000</t>
  </si>
  <si>
    <t>Поступления по инвестиционной деятельности</t>
  </si>
  <si>
    <t>703.100</t>
  </si>
  <si>
    <t>Поступления от продажи ОС и НМА</t>
  </si>
  <si>
    <t>703.200</t>
  </si>
  <si>
    <t>Поступления от инвестиционных операций</t>
  </si>
  <si>
    <t>704.000</t>
  </si>
  <si>
    <t>Выплаты по инвестиционной деятельности</t>
  </si>
  <si>
    <t>704.100</t>
  </si>
  <si>
    <t>Приобретение ОС и НМА</t>
  </si>
  <si>
    <t>704.200</t>
  </si>
  <si>
    <t>Платежи по инвестиционным операциям</t>
  </si>
  <si>
    <t>705.000</t>
  </si>
  <si>
    <t>Поступления по финансовой деятельности</t>
  </si>
  <si>
    <t>705.100</t>
  </si>
  <si>
    <t>Получение займов УК</t>
  </si>
  <si>
    <t>705.200</t>
  </si>
  <si>
    <t>Погашение предоставленных займов УК</t>
  </si>
  <si>
    <t>705.300</t>
  </si>
  <si>
    <t>Возврат депозитов сроком до 3 месяцев УК</t>
  </si>
  <si>
    <t>705.400</t>
  </si>
  <si>
    <t>Проценты к получению по займам УК</t>
  </si>
  <si>
    <t>705.500</t>
  </si>
  <si>
    <t>Проценты к получению по депозитам со сроком до 3 месяцев УК</t>
  </si>
  <si>
    <t>705.600</t>
  </si>
  <si>
    <t>Взнос в уставный капитал УК</t>
  </si>
  <si>
    <t>706.000</t>
  </si>
  <si>
    <t>Выплаты по финансовой деятельности</t>
  </si>
  <si>
    <t>706.100</t>
  </si>
  <si>
    <t>Предоставление займов УК</t>
  </si>
  <si>
    <t>706.200</t>
  </si>
  <si>
    <t>Погашение полученных займов УК</t>
  </si>
  <si>
    <t>706.300</t>
  </si>
  <si>
    <t>Размещение депозитов сроком до 3 месяцев УК</t>
  </si>
  <si>
    <t>706.400</t>
  </si>
  <si>
    <t>Выплата процентов по займам УК</t>
  </si>
  <si>
    <t>706.500</t>
  </si>
  <si>
    <t>Выплата дивидендов УК</t>
  </si>
  <si>
    <t>706.600</t>
  </si>
  <si>
    <t>Долгосрочная аренда помещений УК</t>
  </si>
  <si>
    <t>707.000</t>
  </si>
  <si>
    <t>Внутренний перевод собственных средств УК</t>
  </si>
  <si>
    <t>707.100</t>
  </si>
  <si>
    <t>Перевод собственных средств УК (списание)</t>
  </si>
  <si>
    <t>707.200</t>
  </si>
  <si>
    <t>Перевод собственных средств УК (поступление)</t>
  </si>
  <si>
    <t>707.300</t>
  </si>
  <si>
    <t>Ошибочно поступившие средства</t>
  </si>
  <si>
    <t>708.000</t>
  </si>
  <si>
    <t>Транзит УК</t>
  </si>
  <si>
    <t>708.100</t>
  </si>
  <si>
    <t>Транзит УК (приход)</t>
  </si>
  <si>
    <t>708.200</t>
  </si>
  <si>
    <t>Транзит УК (расход)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</si>
</sst>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4" fontId="3" fillId="2" borderId="1" xfId="0" applyNumberFormat="1" applyFont="1" applyFill="1" applyBorder="1" applyAlignment="1">
      <alignment wrapText="1"/>
    </xf>
    <xf numFmtId="4" fontId="3" fillId="3" borderId="1" xfId="0" applyNumberFormat="1" applyFont="1" applyFill="1" applyBorder="1" applyAlignment="1" applyProtection="1">
      <alignment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2:O143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150" sqref="C150"/>
    </sheetView>
  </sheetViews>
  <sheetFormatPr defaultColWidth="15.7109375" defaultRowHeight="15" outlineLevelRow="3" x14ac:dyDescent="0.25"/>
  <cols>
    <col min="2" max="2" width="48.140625" customWidth="1"/>
  </cols>
  <sheetData>
    <row r="2" spans="1:15" x14ac:dyDescent="0.25">
      <c r="A2" s="1" t="s">
        <v>0</v>
      </c>
    </row>
    <row r="4" spans="1:15" ht="15" customHeight="1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</row>
    <row r="5" spans="1:15" ht="15" customHeight="1" x14ac:dyDescent="0.25">
      <c r="A5" s="3" t="s">
        <v>16</v>
      </c>
      <c r="B5" s="3" t="s">
        <v>17</v>
      </c>
      <c r="C5" s="4">
        <f>СП_20270101_f8b81fd4c7cd11f1863a005056b5e863 + СП_20270101_f8b81ffcc7cd11f1863a005056b5e863 + СП_20270101_feb6a325c7cd11f1863a005056b5e863 + СП_20270101_feb6a328c7cd11f1863a005056b5e863 + СП_20270101_feb6a32bc7cd11f1863a005056b5e863 + СП_20270101_feb6a332c7cd11f1863a005056b5e863 + СП_20270101_feb6a339c7cd11f1863a005056b5e863 + СП_20270101_feb6a33dc7cd11f1863a005056b5e863</f>
        <v>0</v>
      </c>
      <c r="D5" s="4">
        <f>СП_20270201_f8b81fd4c7cd11f1863a005056b5e863 + СП_20270201_f8b81ffcc7cd11f1863a005056b5e863 + СП_20270201_feb6a325c7cd11f1863a005056b5e863 + СП_20270201_feb6a328c7cd11f1863a005056b5e863 + СП_20270201_feb6a32bc7cd11f1863a005056b5e863 + СП_20270201_feb6a332c7cd11f1863a005056b5e863 + СП_20270201_feb6a339c7cd11f1863a005056b5e863 + СП_20270201_feb6a33dc7cd11f1863a005056b5e863</f>
        <v>0</v>
      </c>
      <c r="E5" s="4">
        <f>СП_20270301_f8b81fd4c7cd11f1863a005056b5e863 + СП_20270301_f8b81ffcc7cd11f1863a005056b5e863 + СП_20270301_feb6a325c7cd11f1863a005056b5e863 + СП_20270301_feb6a328c7cd11f1863a005056b5e863 + СП_20270301_feb6a32bc7cd11f1863a005056b5e863 + СП_20270301_feb6a332c7cd11f1863a005056b5e863 + СП_20270301_feb6a339c7cd11f1863a005056b5e863 + СП_20270301_feb6a33dc7cd11f1863a005056b5e863</f>
        <v>0</v>
      </c>
      <c r="F5" s="4">
        <f>СП_20270401_f8b81fd4c7cd11f1863a005056b5e863 + СП_20270401_f8b81ffcc7cd11f1863a005056b5e863 + СП_20270401_feb6a325c7cd11f1863a005056b5e863 + СП_20270401_feb6a328c7cd11f1863a005056b5e863 + СП_20270401_feb6a32bc7cd11f1863a005056b5e863 + СП_20270401_feb6a332c7cd11f1863a005056b5e863 + СП_20270401_feb6a339c7cd11f1863a005056b5e863 + СП_20270401_feb6a33dc7cd11f1863a005056b5e863</f>
        <v>0</v>
      </c>
      <c r="G5" s="4">
        <f>СП_20270501_f8b81fd4c7cd11f1863a005056b5e863 + СП_20270501_f8b81ffcc7cd11f1863a005056b5e863 + СП_20270501_feb6a325c7cd11f1863a005056b5e863 + СП_20270501_feb6a328c7cd11f1863a005056b5e863 + СП_20270501_feb6a32bc7cd11f1863a005056b5e863 + СП_20270501_feb6a332c7cd11f1863a005056b5e863 + СП_20270501_feb6a339c7cd11f1863a005056b5e863 + СП_20270501_feb6a33dc7cd11f1863a005056b5e863</f>
        <v>0</v>
      </c>
      <c r="H5" s="4">
        <f>СП_20270601_f8b81fd4c7cd11f1863a005056b5e863 + СП_20270601_f8b81ffcc7cd11f1863a005056b5e863 + СП_20270601_feb6a325c7cd11f1863a005056b5e863 + СП_20270601_feb6a328c7cd11f1863a005056b5e863 + СП_20270601_feb6a32bc7cd11f1863a005056b5e863 + СП_20270601_feb6a332c7cd11f1863a005056b5e863 + СП_20270601_feb6a339c7cd11f1863a005056b5e863 + СП_20270601_feb6a33dc7cd11f1863a005056b5e863</f>
        <v>0</v>
      </c>
      <c r="I5" s="4">
        <f>СП_20270701_f8b81fd4c7cd11f1863a005056b5e863 + СП_20270701_f8b81ffcc7cd11f1863a005056b5e863 + СП_20270701_feb6a325c7cd11f1863a005056b5e863 + СП_20270701_feb6a328c7cd11f1863a005056b5e863 + СП_20270701_feb6a32bc7cd11f1863a005056b5e863 + СП_20270701_feb6a332c7cd11f1863a005056b5e863 + СП_20270701_feb6a339c7cd11f1863a005056b5e863 + СП_20270701_feb6a33dc7cd11f1863a005056b5e863</f>
        <v>0</v>
      </c>
      <c r="J5" s="4">
        <f>СП_20270801_f8b81fd4c7cd11f1863a005056b5e863 + СП_20270801_f8b81ffcc7cd11f1863a005056b5e863 + СП_20270801_feb6a325c7cd11f1863a005056b5e863 + СП_20270801_feb6a328c7cd11f1863a005056b5e863 + СП_20270801_feb6a32bc7cd11f1863a005056b5e863 + СП_20270801_feb6a332c7cd11f1863a005056b5e863 + СП_20270801_feb6a339c7cd11f1863a005056b5e863 + СП_20270801_feb6a33dc7cd11f1863a005056b5e863</f>
        <v>0</v>
      </c>
      <c r="K5" s="4">
        <f>СП_20270901_f8b81fd4c7cd11f1863a005056b5e863 + СП_20270901_f8b81ffcc7cd11f1863a005056b5e863 + СП_20270901_feb6a325c7cd11f1863a005056b5e863 + СП_20270901_feb6a328c7cd11f1863a005056b5e863 + СП_20270901_feb6a32bc7cd11f1863a005056b5e863 + СП_20270901_feb6a332c7cd11f1863a005056b5e863 + СП_20270901_feb6a339c7cd11f1863a005056b5e863 + СП_20270901_feb6a33dc7cd11f1863a005056b5e863</f>
        <v>0</v>
      </c>
      <c r="L5" s="4">
        <f>СП_20271001_f8b81fd4c7cd11f1863a005056b5e863 + СП_20271001_f8b81ffcc7cd11f1863a005056b5e863 + СП_20271001_feb6a325c7cd11f1863a005056b5e863 + СП_20271001_feb6a328c7cd11f1863a005056b5e863 + СП_20271001_feb6a32bc7cd11f1863a005056b5e863 + СП_20271001_feb6a332c7cd11f1863a005056b5e863 + СП_20271001_feb6a339c7cd11f1863a005056b5e863 + СП_20271001_feb6a33dc7cd11f1863a005056b5e863</f>
        <v>0</v>
      </c>
      <c r="M5" s="4">
        <f>СП_20271101_f8b81fd4c7cd11f1863a005056b5e863 + СП_20271101_f8b81ffcc7cd11f1863a005056b5e863 + СП_20271101_feb6a325c7cd11f1863a005056b5e863 + СП_20271101_feb6a328c7cd11f1863a005056b5e863 + СП_20271101_feb6a32bc7cd11f1863a005056b5e863 + СП_20271101_feb6a332c7cd11f1863a005056b5e863 + СП_20271101_feb6a339c7cd11f1863a005056b5e863 + СП_20271101_feb6a33dc7cd11f1863a005056b5e863</f>
        <v>0</v>
      </c>
      <c r="N5" s="4">
        <f>СП_20271201_f8b81fd4c7cd11f1863a005056b5e863 + СП_20271201_f8b81ffcc7cd11f1863a005056b5e863 + СП_20271201_feb6a325c7cd11f1863a005056b5e863 + СП_20271201_feb6a328c7cd11f1863a005056b5e863 + СП_20271201_feb6a32bc7cd11f1863a005056b5e863 + СП_20271201_feb6a332c7cd11f1863a005056b5e863 + СП_20271201_feb6a339c7cd11f1863a005056b5e863 + СП_20271201_feb6a33dc7cd11f1863a005056b5e863</f>
        <v>0</v>
      </c>
      <c r="O5" s="4">
        <f>СП_Итог_f8b81fd4c7cd11f1863a005056b5e863 + СП_Итог_f8b81ffcc7cd11f1863a005056b5e863 + СП_Итог_feb6a325c7cd11f1863a005056b5e863 + СП_Итог_feb6a328c7cd11f1863a005056b5e863 + СП_Итог_feb6a32bc7cd11f1863a005056b5e863 + СП_Итог_feb6a332c7cd11f1863a005056b5e863 + СП_Итог_feb6a339c7cd11f1863a005056b5e863 + СП_Итог_feb6a33dc7cd11f1863a005056b5e863</f>
        <v>0</v>
      </c>
    </row>
    <row r="6" spans="1:15" ht="15" customHeight="1" outlineLevel="1" x14ac:dyDescent="0.25">
      <c r="A6" s="3" t="s">
        <v>18</v>
      </c>
      <c r="B6" s="3" t="s">
        <v>19</v>
      </c>
      <c r="C6" s="4">
        <f>СП_20270101_c7add6ea6a4811e4805ad4ae526f013e + СП_20270101_f8b81fd7c7cd11f1863a005056b5e863 + СП_20270101_c7add6f66a4811e4805ad4ae526f013e + СП_20270101_3a95d75e928a11ee8376005056a1be4c + СП_20270101_f8b81fdfc7cd11f1863a005056b5e863 + СП_20270101_f9883edd0bfd11f183c6005056b5170a + СП_20270101_74e570081d4811f183c7005056b5170a</f>
        <v>0</v>
      </c>
      <c r="D6" s="4">
        <f>СП_20270201_c7add6ea6a4811e4805ad4ae526f013e + СП_20270201_f8b81fd7c7cd11f1863a005056b5e863 + СП_20270201_c7add6f66a4811e4805ad4ae526f013e + СП_20270201_3a95d75e928a11ee8376005056a1be4c + СП_20270201_f8b81fdfc7cd11f1863a005056b5e863 + СП_20270201_f9883edd0bfd11f183c6005056b5170a + СП_20270201_74e570081d4811f183c7005056b5170a</f>
        <v>0</v>
      </c>
      <c r="E6" s="4">
        <f>СП_20270301_c7add6ea6a4811e4805ad4ae526f013e + СП_20270301_f8b81fd7c7cd11f1863a005056b5e863 + СП_20270301_c7add6f66a4811e4805ad4ae526f013e + СП_20270301_3a95d75e928a11ee8376005056a1be4c + СП_20270301_f8b81fdfc7cd11f1863a005056b5e863 + СП_20270301_f9883edd0bfd11f183c6005056b5170a + СП_20270301_74e570081d4811f183c7005056b5170a</f>
        <v>0</v>
      </c>
      <c r="F6" s="4">
        <f>СП_20270401_c7add6ea6a4811e4805ad4ae526f013e + СП_20270401_f8b81fd7c7cd11f1863a005056b5e863 + СП_20270401_c7add6f66a4811e4805ad4ae526f013e + СП_20270401_3a95d75e928a11ee8376005056a1be4c + СП_20270401_f8b81fdfc7cd11f1863a005056b5e863 + СП_20270401_f9883edd0bfd11f183c6005056b5170a + СП_20270401_74e570081d4811f183c7005056b5170a</f>
        <v>0</v>
      </c>
      <c r="G6" s="4">
        <f>СП_20270501_c7add6ea6a4811e4805ad4ae526f013e + СП_20270501_f8b81fd7c7cd11f1863a005056b5e863 + СП_20270501_c7add6f66a4811e4805ad4ae526f013e + СП_20270501_3a95d75e928a11ee8376005056a1be4c + СП_20270501_f8b81fdfc7cd11f1863a005056b5e863 + СП_20270501_f9883edd0bfd11f183c6005056b5170a + СП_20270501_74e570081d4811f183c7005056b5170a</f>
        <v>0</v>
      </c>
      <c r="H6" s="4">
        <f>СП_20270601_c7add6ea6a4811e4805ad4ae526f013e + СП_20270601_f8b81fd7c7cd11f1863a005056b5e863 + СП_20270601_c7add6f66a4811e4805ad4ae526f013e + СП_20270601_3a95d75e928a11ee8376005056a1be4c + СП_20270601_f8b81fdfc7cd11f1863a005056b5e863 + СП_20270601_f9883edd0bfd11f183c6005056b5170a + СП_20270601_74e570081d4811f183c7005056b5170a</f>
        <v>0</v>
      </c>
      <c r="I6" s="4">
        <f>СП_20270701_c7add6ea6a4811e4805ad4ae526f013e + СП_20270701_f8b81fd7c7cd11f1863a005056b5e863 + СП_20270701_c7add6f66a4811e4805ad4ae526f013e + СП_20270701_3a95d75e928a11ee8376005056a1be4c + СП_20270701_f8b81fdfc7cd11f1863a005056b5e863 + СП_20270701_f9883edd0bfd11f183c6005056b5170a + СП_20270701_74e570081d4811f183c7005056b5170a</f>
        <v>0</v>
      </c>
      <c r="J6" s="4">
        <f>СП_20270801_c7add6ea6a4811e4805ad4ae526f013e + СП_20270801_f8b81fd7c7cd11f1863a005056b5e863 + СП_20270801_c7add6f66a4811e4805ad4ae526f013e + СП_20270801_3a95d75e928a11ee8376005056a1be4c + СП_20270801_f8b81fdfc7cd11f1863a005056b5e863 + СП_20270801_f9883edd0bfd11f183c6005056b5170a + СП_20270801_74e570081d4811f183c7005056b5170a</f>
        <v>0</v>
      </c>
      <c r="K6" s="4">
        <f>СП_20270901_c7add6ea6a4811e4805ad4ae526f013e + СП_20270901_f8b81fd7c7cd11f1863a005056b5e863 + СП_20270901_c7add6f66a4811e4805ad4ae526f013e + СП_20270901_3a95d75e928a11ee8376005056a1be4c + СП_20270901_f8b81fdfc7cd11f1863a005056b5e863 + СП_20270901_f9883edd0bfd11f183c6005056b5170a + СП_20270901_74e570081d4811f183c7005056b5170a</f>
        <v>0</v>
      </c>
      <c r="L6" s="4">
        <f>СП_20271001_c7add6ea6a4811e4805ad4ae526f013e + СП_20271001_f8b81fd7c7cd11f1863a005056b5e863 + СП_20271001_c7add6f66a4811e4805ad4ae526f013e + СП_20271001_3a95d75e928a11ee8376005056a1be4c + СП_20271001_f8b81fdfc7cd11f1863a005056b5e863 + СП_20271001_f9883edd0bfd11f183c6005056b5170a + СП_20271001_74e570081d4811f183c7005056b5170a</f>
        <v>0</v>
      </c>
      <c r="M6" s="4">
        <f>СП_20271101_c7add6ea6a4811e4805ad4ae526f013e + СП_20271101_f8b81fd7c7cd11f1863a005056b5e863 + СП_20271101_c7add6f66a4811e4805ad4ae526f013e + СП_20271101_3a95d75e928a11ee8376005056a1be4c + СП_20271101_f8b81fdfc7cd11f1863a005056b5e863 + СП_20271101_f9883edd0bfd11f183c6005056b5170a + СП_20271101_74e570081d4811f183c7005056b5170a</f>
        <v>0</v>
      </c>
      <c r="N6" s="4">
        <f>СП_20271201_c7add6ea6a4811e4805ad4ae526f013e + СП_20271201_f8b81fd7c7cd11f1863a005056b5e863 + СП_20271201_c7add6f66a4811e4805ad4ae526f013e + СП_20271201_3a95d75e928a11ee8376005056a1be4c + СП_20271201_f8b81fdfc7cd11f1863a005056b5e863 + СП_20271201_f9883edd0bfd11f183c6005056b5170a + СП_20271201_74e570081d4811f183c7005056b5170a</f>
        <v>0</v>
      </c>
      <c r="O6" s="4">
        <f>СП_Итог_c7add6ea6a4811e4805ad4ae526f013e + СП_Итог_f8b81fd7c7cd11f1863a005056b5e863 + СП_Итог_c7add6f66a4811e4805ad4ae526f013e + СП_Итог_3a95d75e928a11ee8376005056a1be4c + СП_Итог_f8b81fdfc7cd11f1863a005056b5e863 + СП_Итог_f9883edd0bfd11f183c6005056b5170a + СП_Итог_74e570081d4811f183c7005056b5170a</f>
        <v>0</v>
      </c>
    </row>
    <row r="7" spans="1:15" ht="15" customHeight="1" outlineLevel="2" x14ac:dyDescent="0.25">
      <c r="A7" s="3" t="s">
        <v>20</v>
      </c>
      <c r="B7" s="3" t="s">
        <v>21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4">
        <f>СП_20270101_c7add6ea6a4811e4805ad4ae526f013e + СП_20270201_c7add6ea6a4811e4805ad4ae526f013e + СП_20270301_c7add6ea6a4811e4805ad4ae526f013e + СП_20270401_c7add6ea6a4811e4805ad4ae526f013e + СП_20270501_c7add6ea6a4811e4805ad4ae526f013e + СП_20270601_c7add6ea6a4811e4805ad4ae526f013e + СП_20270701_c7add6ea6a4811e4805ad4ae526f013e + СП_20270801_c7add6ea6a4811e4805ad4ae526f013e + СП_20270901_c7add6ea6a4811e4805ad4ae526f013e + СП_20271001_c7add6ea6a4811e4805ad4ae526f013e + СП_20271101_c7add6ea6a4811e4805ad4ae526f013e + СП_20271201_c7add6ea6a4811e4805ad4ae526f013e</f>
        <v>0</v>
      </c>
    </row>
    <row r="8" spans="1:15" ht="15" customHeight="1" outlineLevel="2" x14ac:dyDescent="0.25">
      <c r="A8" s="3" t="s">
        <v>22</v>
      </c>
      <c r="B8" s="3" t="s">
        <v>23</v>
      </c>
      <c r="C8" s="4">
        <f>СП_20270101_c7add6ed6a4811e4805ad4ae526f013e + СП_20270101_271acd8d928811ee8376005056a1be4c + СП_20270101_b438366e4cd911e680db005056a1088b + СП_20270101_9205e61ac7a011f083a1005056b5170a + СП_20270101_c7add6f76a4811e4805ad4ae526f013e + СП_20270101_1a614068928811ee8376005056a1be4c</f>
        <v>0</v>
      </c>
      <c r="D8" s="4">
        <f>СП_20270201_c7add6ed6a4811e4805ad4ae526f013e + СП_20270201_271acd8d928811ee8376005056a1be4c + СП_20270201_b438366e4cd911e680db005056a1088b + СП_20270201_9205e61ac7a011f083a1005056b5170a + СП_20270201_c7add6f76a4811e4805ad4ae526f013e + СП_20270201_1a614068928811ee8376005056a1be4c</f>
        <v>0</v>
      </c>
      <c r="E8" s="4">
        <f>СП_20270301_c7add6ed6a4811e4805ad4ae526f013e + СП_20270301_271acd8d928811ee8376005056a1be4c + СП_20270301_b438366e4cd911e680db005056a1088b + СП_20270301_9205e61ac7a011f083a1005056b5170a + СП_20270301_c7add6f76a4811e4805ad4ae526f013e + СП_20270301_1a614068928811ee8376005056a1be4c</f>
        <v>0</v>
      </c>
      <c r="F8" s="4">
        <f>СП_20270401_c7add6ed6a4811e4805ad4ae526f013e + СП_20270401_271acd8d928811ee8376005056a1be4c + СП_20270401_b438366e4cd911e680db005056a1088b + СП_20270401_9205e61ac7a011f083a1005056b5170a + СП_20270401_c7add6f76a4811e4805ad4ae526f013e + СП_20270401_1a614068928811ee8376005056a1be4c</f>
        <v>0</v>
      </c>
      <c r="G8" s="4">
        <f>СП_20270501_c7add6ed6a4811e4805ad4ae526f013e + СП_20270501_271acd8d928811ee8376005056a1be4c + СП_20270501_b438366e4cd911e680db005056a1088b + СП_20270501_9205e61ac7a011f083a1005056b5170a + СП_20270501_c7add6f76a4811e4805ad4ae526f013e + СП_20270501_1a614068928811ee8376005056a1be4c</f>
        <v>0</v>
      </c>
      <c r="H8" s="4">
        <f>СП_20270601_c7add6ed6a4811e4805ad4ae526f013e + СП_20270601_271acd8d928811ee8376005056a1be4c + СП_20270601_b438366e4cd911e680db005056a1088b + СП_20270601_9205e61ac7a011f083a1005056b5170a + СП_20270601_c7add6f76a4811e4805ad4ae526f013e + СП_20270601_1a614068928811ee8376005056a1be4c</f>
        <v>0</v>
      </c>
      <c r="I8" s="4">
        <f>СП_20270701_c7add6ed6a4811e4805ad4ae526f013e + СП_20270701_271acd8d928811ee8376005056a1be4c + СП_20270701_b438366e4cd911e680db005056a1088b + СП_20270701_9205e61ac7a011f083a1005056b5170a + СП_20270701_c7add6f76a4811e4805ad4ae526f013e + СП_20270701_1a614068928811ee8376005056a1be4c</f>
        <v>0</v>
      </c>
      <c r="J8" s="4">
        <f>СП_20270801_c7add6ed6a4811e4805ad4ae526f013e + СП_20270801_271acd8d928811ee8376005056a1be4c + СП_20270801_b438366e4cd911e680db005056a1088b + СП_20270801_9205e61ac7a011f083a1005056b5170a + СП_20270801_c7add6f76a4811e4805ad4ae526f013e + СП_20270801_1a614068928811ee8376005056a1be4c</f>
        <v>0</v>
      </c>
      <c r="K8" s="4">
        <f>СП_20270901_c7add6ed6a4811e4805ad4ae526f013e + СП_20270901_271acd8d928811ee8376005056a1be4c + СП_20270901_b438366e4cd911e680db005056a1088b + СП_20270901_9205e61ac7a011f083a1005056b5170a + СП_20270901_c7add6f76a4811e4805ad4ae526f013e + СП_20270901_1a614068928811ee8376005056a1be4c</f>
        <v>0</v>
      </c>
      <c r="L8" s="4">
        <f>СП_20271001_c7add6ed6a4811e4805ad4ae526f013e + СП_20271001_271acd8d928811ee8376005056a1be4c + СП_20271001_b438366e4cd911e680db005056a1088b + СП_20271001_9205e61ac7a011f083a1005056b5170a + СП_20271001_c7add6f76a4811e4805ad4ae526f013e + СП_20271001_1a614068928811ee8376005056a1be4c</f>
        <v>0</v>
      </c>
      <c r="M8" s="4">
        <f>СП_20271101_c7add6ed6a4811e4805ad4ae526f013e + СП_20271101_271acd8d928811ee8376005056a1be4c + СП_20271101_b438366e4cd911e680db005056a1088b + СП_20271101_9205e61ac7a011f083a1005056b5170a + СП_20271101_c7add6f76a4811e4805ad4ae526f013e + СП_20271101_1a614068928811ee8376005056a1be4c</f>
        <v>0</v>
      </c>
      <c r="N8" s="4">
        <f>СП_20271201_c7add6ed6a4811e4805ad4ae526f013e + СП_20271201_271acd8d928811ee8376005056a1be4c + СП_20271201_b438366e4cd911e680db005056a1088b + СП_20271201_9205e61ac7a011f083a1005056b5170a + СП_20271201_c7add6f76a4811e4805ad4ae526f013e + СП_20271201_1a614068928811ee8376005056a1be4c</f>
        <v>0</v>
      </c>
      <c r="O8" s="4">
        <f>СП_Итог_c7add6ed6a4811e4805ad4ae526f013e + СП_Итог_271acd8d928811ee8376005056a1be4c + СП_Итог_b438366e4cd911e680db005056a1088b + СП_Итог_9205e61ac7a011f083a1005056b5170a + СП_Итог_c7add6f76a4811e4805ad4ae526f013e + СП_Итог_1a614068928811ee8376005056a1be4c</f>
        <v>0</v>
      </c>
    </row>
    <row r="9" spans="1:15" ht="15" customHeight="1" outlineLevel="3" x14ac:dyDescent="0.25">
      <c r="A9" s="3" t="s">
        <v>24</v>
      </c>
      <c r="B9" s="3" t="s">
        <v>25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4">
        <f>СП_20270101_c7add6ed6a4811e4805ad4ae526f013e + СП_20270201_c7add6ed6a4811e4805ad4ae526f013e + СП_20270301_c7add6ed6a4811e4805ad4ae526f013e + СП_20270401_c7add6ed6a4811e4805ad4ae526f013e + СП_20270501_c7add6ed6a4811e4805ad4ae526f013e + СП_20270601_c7add6ed6a4811e4805ad4ae526f013e + СП_20270701_c7add6ed6a4811e4805ad4ae526f013e + СП_20270801_c7add6ed6a4811e4805ad4ae526f013e + СП_20270901_c7add6ed6a4811e4805ad4ae526f013e + СП_20271001_c7add6ed6a4811e4805ad4ae526f013e + СП_20271101_c7add6ed6a4811e4805ad4ae526f013e + СП_20271201_c7add6ed6a4811e4805ad4ae526f013e</f>
        <v>0</v>
      </c>
    </row>
    <row r="10" spans="1:15" ht="15" customHeight="1" outlineLevel="3" x14ac:dyDescent="0.25">
      <c r="A10" s="3" t="s">
        <v>26</v>
      </c>
      <c r="B10" s="3" t="s">
        <v>27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4">
        <f>СП_20270101_271acd8d928811ee8376005056a1be4c + СП_20270201_271acd8d928811ee8376005056a1be4c + СП_20270301_271acd8d928811ee8376005056a1be4c + СП_20270401_271acd8d928811ee8376005056a1be4c + СП_20270501_271acd8d928811ee8376005056a1be4c + СП_20270601_271acd8d928811ee8376005056a1be4c + СП_20270701_271acd8d928811ee8376005056a1be4c + СП_20270801_271acd8d928811ee8376005056a1be4c + СП_20270901_271acd8d928811ee8376005056a1be4c + СП_20271001_271acd8d928811ee8376005056a1be4c + СП_20271101_271acd8d928811ee8376005056a1be4c + СП_20271201_271acd8d928811ee8376005056a1be4c</f>
        <v>0</v>
      </c>
    </row>
    <row r="11" spans="1:15" ht="15" customHeight="1" outlineLevel="3" x14ac:dyDescent="0.25">
      <c r="A11" s="3" t="s">
        <v>28</v>
      </c>
      <c r="B11" s="3" t="s">
        <v>29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4">
        <f>СП_20270101_b438366e4cd911e680db005056a1088b + СП_20270201_b438366e4cd911e680db005056a1088b + СП_20270301_b438366e4cd911e680db005056a1088b + СП_20270401_b438366e4cd911e680db005056a1088b + СП_20270501_b438366e4cd911e680db005056a1088b + СП_20270601_b438366e4cd911e680db005056a1088b + СП_20270701_b438366e4cd911e680db005056a1088b + СП_20270801_b438366e4cd911e680db005056a1088b + СП_20270901_b438366e4cd911e680db005056a1088b + СП_20271001_b438366e4cd911e680db005056a1088b + СП_20271101_b438366e4cd911e680db005056a1088b + СП_20271201_b438366e4cd911e680db005056a1088b</f>
        <v>0</v>
      </c>
    </row>
    <row r="12" spans="1:15" ht="15" customHeight="1" outlineLevel="3" x14ac:dyDescent="0.25">
      <c r="A12" s="3" t="s">
        <v>30</v>
      </c>
      <c r="B12" s="3" t="s">
        <v>31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4">
        <f>СП_20270101_9205e61ac7a011f083a1005056b5170a + СП_20270201_9205e61ac7a011f083a1005056b5170a + СП_20270301_9205e61ac7a011f083a1005056b5170a + СП_20270401_9205e61ac7a011f083a1005056b5170a + СП_20270501_9205e61ac7a011f083a1005056b5170a + СП_20270601_9205e61ac7a011f083a1005056b5170a + СП_20270701_9205e61ac7a011f083a1005056b5170a + СП_20270801_9205e61ac7a011f083a1005056b5170a + СП_20270901_9205e61ac7a011f083a1005056b5170a + СП_20271001_9205e61ac7a011f083a1005056b5170a + СП_20271101_9205e61ac7a011f083a1005056b5170a + СП_20271201_9205e61ac7a011f083a1005056b5170a</f>
        <v>0</v>
      </c>
    </row>
    <row r="13" spans="1:15" ht="15" customHeight="1" outlineLevel="3" x14ac:dyDescent="0.25">
      <c r="A13" s="3" t="s">
        <v>32</v>
      </c>
      <c r="B13" s="3" t="s">
        <v>33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">
        <f>СП_20270101_c7add6f76a4811e4805ad4ae526f013e + СП_20270201_c7add6f76a4811e4805ad4ae526f013e + СП_20270301_c7add6f76a4811e4805ad4ae526f013e + СП_20270401_c7add6f76a4811e4805ad4ae526f013e + СП_20270501_c7add6f76a4811e4805ad4ae526f013e + СП_20270601_c7add6f76a4811e4805ad4ae526f013e + СП_20270701_c7add6f76a4811e4805ad4ae526f013e + СП_20270801_c7add6f76a4811e4805ad4ae526f013e + СП_20270901_c7add6f76a4811e4805ad4ae526f013e + СП_20271001_c7add6f76a4811e4805ad4ae526f013e + СП_20271101_c7add6f76a4811e4805ad4ae526f013e + СП_20271201_c7add6f76a4811e4805ad4ae526f013e</f>
        <v>0</v>
      </c>
    </row>
    <row r="14" spans="1:15" ht="15" customHeight="1" outlineLevel="3" x14ac:dyDescent="0.25">
      <c r="A14" s="3" t="s">
        <v>34</v>
      </c>
      <c r="B14" s="3" t="s">
        <v>35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4">
        <f>СП_20270101_1a614068928811ee8376005056a1be4c + СП_20270201_1a614068928811ee8376005056a1be4c + СП_20270301_1a614068928811ee8376005056a1be4c + СП_20270401_1a614068928811ee8376005056a1be4c + СП_20270501_1a614068928811ee8376005056a1be4c + СП_20270601_1a614068928811ee8376005056a1be4c + СП_20270701_1a614068928811ee8376005056a1be4c + СП_20270801_1a614068928811ee8376005056a1be4c + СП_20270901_1a614068928811ee8376005056a1be4c + СП_20271001_1a614068928811ee8376005056a1be4c + СП_20271101_1a614068928811ee8376005056a1be4c + СП_20271201_1a614068928811ee8376005056a1be4c</f>
        <v>0</v>
      </c>
    </row>
    <row r="15" spans="1:15" ht="15" customHeight="1" outlineLevel="2" x14ac:dyDescent="0.25">
      <c r="A15" s="3" t="s">
        <v>36</v>
      </c>
      <c r="B15" s="3" t="s">
        <v>37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4">
        <f>СП_20270101_c7add6f66a4811e4805ad4ae526f013e + СП_20270201_c7add6f66a4811e4805ad4ae526f013e + СП_20270301_c7add6f66a4811e4805ad4ae526f013e + СП_20270401_c7add6f66a4811e4805ad4ae526f013e + СП_20270501_c7add6f66a4811e4805ad4ae526f013e + СП_20270601_c7add6f66a4811e4805ad4ae526f013e + СП_20270701_c7add6f66a4811e4805ad4ae526f013e + СП_20270801_c7add6f66a4811e4805ad4ae526f013e + СП_20270901_c7add6f66a4811e4805ad4ae526f013e + СП_20271001_c7add6f66a4811e4805ad4ae526f013e + СП_20271101_c7add6f66a4811e4805ad4ae526f013e + СП_20271201_c7add6f66a4811e4805ad4ae526f013e</f>
        <v>0</v>
      </c>
    </row>
    <row r="16" spans="1:15" ht="15" customHeight="1" outlineLevel="2" x14ac:dyDescent="0.25">
      <c r="A16" s="3" t="s">
        <v>38</v>
      </c>
      <c r="B16" s="3" t="s">
        <v>39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4">
        <f>СП_20270101_3a95d75e928a11ee8376005056a1be4c + СП_20270201_3a95d75e928a11ee8376005056a1be4c + СП_20270301_3a95d75e928a11ee8376005056a1be4c + СП_20270401_3a95d75e928a11ee8376005056a1be4c + СП_20270501_3a95d75e928a11ee8376005056a1be4c + СП_20270601_3a95d75e928a11ee8376005056a1be4c + СП_20270701_3a95d75e928a11ee8376005056a1be4c + СП_20270801_3a95d75e928a11ee8376005056a1be4c + СП_20270901_3a95d75e928a11ee8376005056a1be4c + СП_20271001_3a95d75e928a11ee8376005056a1be4c + СП_20271101_3a95d75e928a11ee8376005056a1be4c + СП_20271201_3a95d75e928a11ee8376005056a1be4c</f>
        <v>0</v>
      </c>
    </row>
    <row r="17" spans="1:15" ht="15" customHeight="1" outlineLevel="2" x14ac:dyDescent="0.25">
      <c r="A17" s="3" t="s">
        <v>40</v>
      </c>
      <c r="B17" s="3" t="s">
        <v>41</v>
      </c>
      <c r="C17" s="4">
        <f>СП_20270101_b4431256c7a611f083a1005056b5170a + СП_20270101_f3278a99c7a711f083a1005056b5170a + СП_20270101_e47771ec94dc11ee8376005056a1be4c + СП_20270101_05104b79c7a811f083a1005056b5170a + СП_20270101_16fb1a53c7a811f083a1005056b5170a + СП_20270101_1421d8301d4811f183c7005056b5170a + СП_20270101_584645171d5511f183c7005056b5170a + СП_20270101_806711dd1d5511f183c7005056b5170a + СП_20270101_b1def38f1d5511f183c7005056b5170a + СП_20270101_a477ec4f545211f183c8005056b5170a</f>
        <v>0</v>
      </c>
      <c r="D17" s="4">
        <f>СП_20270201_b4431256c7a611f083a1005056b5170a + СП_20270201_f3278a99c7a711f083a1005056b5170a + СП_20270201_e47771ec94dc11ee8376005056a1be4c + СП_20270201_05104b79c7a811f083a1005056b5170a + СП_20270201_16fb1a53c7a811f083a1005056b5170a + СП_20270201_1421d8301d4811f183c7005056b5170a + СП_20270201_584645171d5511f183c7005056b5170a + СП_20270201_806711dd1d5511f183c7005056b5170a + СП_20270201_b1def38f1d5511f183c7005056b5170a + СП_20270201_a477ec4f545211f183c8005056b5170a</f>
        <v>0</v>
      </c>
      <c r="E17" s="4">
        <f>СП_20270301_b4431256c7a611f083a1005056b5170a + СП_20270301_f3278a99c7a711f083a1005056b5170a + СП_20270301_e47771ec94dc11ee8376005056a1be4c + СП_20270301_05104b79c7a811f083a1005056b5170a + СП_20270301_16fb1a53c7a811f083a1005056b5170a + СП_20270301_1421d8301d4811f183c7005056b5170a + СП_20270301_584645171d5511f183c7005056b5170a + СП_20270301_806711dd1d5511f183c7005056b5170a + СП_20270301_b1def38f1d5511f183c7005056b5170a + СП_20270301_a477ec4f545211f183c8005056b5170a</f>
        <v>0</v>
      </c>
      <c r="F17" s="4">
        <f>СП_20270401_b4431256c7a611f083a1005056b5170a + СП_20270401_f3278a99c7a711f083a1005056b5170a + СП_20270401_e47771ec94dc11ee8376005056a1be4c + СП_20270401_05104b79c7a811f083a1005056b5170a + СП_20270401_16fb1a53c7a811f083a1005056b5170a + СП_20270401_1421d8301d4811f183c7005056b5170a + СП_20270401_584645171d5511f183c7005056b5170a + СП_20270401_806711dd1d5511f183c7005056b5170a + СП_20270401_b1def38f1d5511f183c7005056b5170a + СП_20270401_a477ec4f545211f183c8005056b5170a</f>
        <v>0</v>
      </c>
      <c r="G17" s="4">
        <f>СП_20270501_b4431256c7a611f083a1005056b5170a + СП_20270501_f3278a99c7a711f083a1005056b5170a + СП_20270501_e47771ec94dc11ee8376005056a1be4c + СП_20270501_05104b79c7a811f083a1005056b5170a + СП_20270501_16fb1a53c7a811f083a1005056b5170a + СП_20270501_1421d8301d4811f183c7005056b5170a + СП_20270501_584645171d5511f183c7005056b5170a + СП_20270501_806711dd1d5511f183c7005056b5170a + СП_20270501_b1def38f1d5511f183c7005056b5170a + СП_20270501_a477ec4f545211f183c8005056b5170a</f>
        <v>0</v>
      </c>
      <c r="H17" s="4">
        <f>СП_20270601_b4431256c7a611f083a1005056b5170a + СП_20270601_f3278a99c7a711f083a1005056b5170a + СП_20270601_e47771ec94dc11ee8376005056a1be4c + СП_20270601_05104b79c7a811f083a1005056b5170a + СП_20270601_16fb1a53c7a811f083a1005056b5170a + СП_20270601_1421d8301d4811f183c7005056b5170a + СП_20270601_584645171d5511f183c7005056b5170a + СП_20270601_806711dd1d5511f183c7005056b5170a + СП_20270601_b1def38f1d5511f183c7005056b5170a + СП_20270601_a477ec4f545211f183c8005056b5170a</f>
        <v>0</v>
      </c>
      <c r="I17" s="4">
        <f>СП_20270701_b4431256c7a611f083a1005056b5170a + СП_20270701_f3278a99c7a711f083a1005056b5170a + СП_20270701_e47771ec94dc11ee8376005056a1be4c + СП_20270701_05104b79c7a811f083a1005056b5170a + СП_20270701_16fb1a53c7a811f083a1005056b5170a + СП_20270701_1421d8301d4811f183c7005056b5170a + СП_20270701_584645171d5511f183c7005056b5170a + СП_20270701_806711dd1d5511f183c7005056b5170a + СП_20270701_b1def38f1d5511f183c7005056b5170a + СП_20270701_a477ec4f545211f183c8005056b5170a</f>
        <v>0</v>
      </c>
      <c r="J17" s="4">
        <f>СП_20270801_b4431256c7a611f083a1005056b5170a + СП_20270801_f3278a99c7a711f083a1005056b5170a + СП_20270801_e47771ec94dc11ee8376005056a1be4c + СП_20270801_05104b79c7a811f083a1005056b5170a + СП_20270801_16fb1a53c7a811f083a1005056b5170a + СП_20270801_1421d8301d4811f183c7005056b5170a + СП_20270801_584645171d5511f183c7005056b5170a + СП_20270801_806711dd1d5511f183c7005056b5170a + СП_20270801_b1def38f1d5511f183c7005056b5170a + СП_20270801_a477ec4f545211f183c8005056b5170a</f>
        <v>0</v>
      </c>
      <c r="K17" s="4">
        <f>СП_20270901_b4431256c7a611f083a1005056b5170a + СП_20270901_f3278a99c7a711f083a1005056b5170a + СП_20270901_e47771ec94dc11ee8376005056a1be4c + СП_20270901_05104b79c7a811f083a1005056b5170a + СП_20270901_16fb1a53c7a811f083a1005056b5170a + СП_20270901_1421d8301d4811f183c7005056b5170a + СП_20270901_584645171d5511f183c7005056b5170a + СП_20270901_806711dd1d5511f183c7005056b5170a + СП_20270901_b1def38f1d5511f183c7005056b5170a + СП_20270901_a477ec4f545211f183c8005056b5170a</f>
        <v>0</v>
      </c>
      <c r="L17" s="4">
        <f>СП_20271001_b4431256c7a611f083a1005056b5170a + СП_20271001_f3278a99c7a711f083a1005056b5170a + СП_20271001_e47771ec94dc11ee8376005056a1be4c + СП_20271001_05104b79c7a811f083a1005056b5170a + СП_20271001_16fb1a53c7a811f083a1005056b5170a + СП_20271001_1421d8301d4811f183c7005056b5170a + СП_20271001_584645171d5511f183c7005056b5170a + СП_20271001_806711dd1d5511f183c7005056b5170a + СП_20271001_b1def38f1d5511f183c7005056b5170a + СП_20271001_a477ec4f545211f183c8005056b5170a</f>
        <v>0</v>
      </c>
      <c r="M17" s="4">
        <f>СП_20271101_b4431256c7a611f083a1005056b5170a + СП_20271101_f3278a99c7a711f083a1005056b5170a + СП_20271101_e47771ec94dc11ee8376005056a1be4c + СП_20271101_05104b79c7a811f083a1005056b5170a + СП_20271101_16fb1a53c7a811f083a1005056b5170a + СП_20271101_1421d8301d4811f183c7005056b5170a + СП_20271101_584645171d5511f183c7005056b5170a + СП_20271101_806711dd1d5511f183c7005056b5170a + СП_20271101_b1def38f1d5511f183c7005056b5170a + СП_20271101_a477ec4f545211f183c8005056b5170a</f>
        <v>0</v>
      </c>
      <c r="N17" s="4">
        <f>СП_20271201_b4431256c7a611f083a1005056b5170a + СП_20271201_f3278a99c7a711f083a1005056b5170a + СП_20271201_e47771ec94dc11ee8376005056a1be4c + СП_20271201_05104b79c7a811f083a1005056b5170a + СП_20271201_16fb1a53c7a811f083a1005056b5170a + СП_20271201_1421d8301d4811f183c7005056b5170a + СП_20271201_584645171d5511f183c7005056b5170a + СП_20271201_806711dd1d5511f183c7005056b5170a + СП_20271201_b1def38f1d5511f183c7005056b5170a + СП_20271201_a477ec4f545211f183c8005056b5170a</f>
        <v>0</v>
      </c>
      <c r="O17" s="4">
        <f>СП_Итог_b4431256c7a611f083a1005056b5170a + СП_Итог_f3278a99c7a711f083a1005056b5170a + СП_Итог_e47771ec94dc11ee8376005056a1be4c + СП_Итог_05104b79c7a811f083a1005056b5170a + СП_Итог_16fb1a53c7a811f083a1005056b5170a + СП_Итог_1421d8301d4811f183c7005056b5170a + СП_Итог_584645171d5511f183c7005056b5170a + СП_Итог_806711dd1d5511f183c7005056b5170a + СП_Итог_b1def38f1d5511f183c7005056b5170a + СП_Итог_a477ec4f545211f183c8005056b5170a</f>
        <v>0</v>
      </c>
    </row>
    <row r="18" spans="1:15" ht="15" customHeight="1" outlineLevel="3" x14ac:dyDescent="0.25">
      <c r="A18" s="3" t="s">
        <v>42</v>
      </c>
      <c r="B18" s="3" t="s">
        <v>43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4">
        <f>СП_20270101_b4431256c7a611f083a1005056b5170a + СП_20270201_b4431256c7a611f083a1005056b5170a + СП_20270301_b4431256c7a611f083a1005056b5170a + СП_20270401_b4431256c7a611f083a1005056b5170a + СП_20270501_b4431256c7a611f083a1005056b5170a + СП_20270601_b4431256c7a611f083a1005056b5170a + СП_20270701_b4431256c7a611f083a1005056b5170a + СП_20270801_b4431256c7a611f083a1005056b5170a + СП_20270901_b4431256c7a611f083a1005056b5170a + СП_20271001_b4431256c7a611f083a1005056b5170a + СП_20271101_b4431256c7a611f083a1005056b5170a + СП_20271201_b4431256c7a611f083a1005056b5170a</f>
        <v>0</v>
      </c>
    </row>
    <row r="19" spans="1:15" ht="15" customHeight="1" outlineLevel="3" x14ac:dyDescent="0.25">
      <c r="A19" s="3" t="s">
        <v>44</v>
      </c>
      <c r="B19" s="3" t="s">
        <v>45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4">
        <f>СП_20270101_f3278a99c7a711f083a1005056b5170a + СП_20270201_f3278a99c7a711f083a1005056b5170a + СП_20270301_f3278a99c7a711f083a1005056b5170a + СП_20270401_f3278a99c7a711f083a1005056b5170a + СП_20270501_f3278a99c7a711f083a1005056b5170a + СП_20270601_f3278a99c7a711f083a1005056b5170a + СП_20270701_f3278a99c7a711f083a1005056b5170a + СП_20270801_f3278a99c7a711f083a1005056b5170a + СП_20270901_f3278a99c7a711f083a1005056b5170a + СП_20271001_f3278a99c7a711f083a1005056b5170a + СП_20271101_f3278a99c7a711f083a1005056b5170a + СП_20271201_f3278a99c7a711f083a1005056b5170a</f>
        <v>0</v>
      </c>
    </row>
    <row r="20" spans="1:15" ht="15" customHeight="1" outlineLevel="3" x14ac:dyDescent="0.25">
      <c r="A20" s="3" t="s">
        <v>46</v>
      </c>
      <c r="B20" s="3" t="s">
        <v>47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4">
        <f>СП_20270101_e47771ec94dc11ee8376005056a1be4c + СП_20270201_e47771ec94dc11ee8376005056a1be4c + СП_20270301_e47771ec94dc11ee8376005056a1be4c + СП_20270401_e47771ec94dc11ee8376005056a1be4c + СП_20270501_e47771ec94dc11ee8376005056a1be4c + СП_20270601_e47771ec94dc11ee8376005056a1be4c + СП_20270701_e47771ec94dc11ee8376005056a1be4c + СП_20270801_e47771ec94dc11ee8376005056a1be4c + СП_20270901_e47771ec94dc11ee8376005056a1be4c + СП_20271001_e47771ec94dc11ee8376005056a1be4c + СП_20271101_e47771ec94dc11ee8376005056a1be4c + СП_20271201_e47771ec94dc11ee8376005056a1be4c</f>
        <v>0</v>
      </c>
    </row>
    <row r="21" spans="1:15" ht="15" customHeight="1" outlineLevel="3" x14ac:dyDescent="0.25">
      <c r="A21" s="3" t="s">
        <v>48</v>
      </c>
      <c r="B21" s="3" t="s">
        <v>49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4">
        <f>СП_20270101_05104b79c7a811f083a1005056b5170a + СП_20270201_05104b79c7a811f083a1005056b5170a + СП_20270301_05104b79c7a811f083a1005056b5170a + СП_20270401_05104b79c7a811f083a1005056b5170a + СП_20270501_05104b79c7a811f083a1005056b5170a + СП_20270601_05104b79c7a811f083a1005056b5170a + СП_20270701_05104b79c7a811f083a1005056b5170a + СП_20270801_05104b79c7a811f083a1005056b5170a + СП_20270901_05104b79c7a811f083a1005056b5170a + СП_20271001_05104b79c7a811f083a1005056b5170a + СП_20271101_05104b79c7a811f083a1005056b5170a + СП_20271201_05104b79c7a811f083a1005056b5170a</f>
        <v>0</v>
      </c>
    </row>
    <row r="22" spans="1:15" ht="15" customHeight="1" outlineLevel="3" x14ac:dyDescent="0.25">
      <c r="A22" s="3" t="s">
        <v>50</v>
      </c>
      <c r="B22" s="3" t="s">
        <v>51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4">
        <f>СП_20270101_16fb1a53c7a811f083a1005056b5170a + СП_20270201_16fb1a53c7a811f083a1005056b5170a + СП_20270301_16fb1a53c7a811f083a1005056b5170a + СП_20270401_16fb1a53c7a811f083a1005056b5170a + СП_20270501_16fb1a53c7a811f083a1005056b5170a + СП_20270601_16fb1a53c7a811f083a1005056b5170a + СП_20270701_16fb1a53c7a811f083a1005056b5170a + СП_20270801_16fb1a53c7a811f083a1005056b5170a + СП_20270901_16fb1a53c7a811f083a1005056b5170a + СП_20271001_16fb1a53c7a811f083a1005056b5170a + СП_20271101_16fb1a53c7a811f083a1005056b5170a + СП_20271201_16fb1a53c7a811f083a1005056b5170a</f>
        <v>0</v>
      </c>
    </row>
    <row r="23" spans="1:15" ht="15" customHeight="1" outlineLevel="3" x14ac:dyDescent="0.25">
      <c r="A23" s="3" t="s">
        <v>52</v>
      </c>
      <c r="B23" s="3" t="s">
        <v>53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4">
        <f>СП_20270101_1421d8301d4811f183c7005056b5170a + СП_20270201_1421d8301d4811f183c7005056b5170a + СП_20270301_1421d8301d4811f183c7005056b5170a + СП_20270401_1421d8301d4811f183c7005056b5170a + СП_20270501_1421d8301d4811f183c7005056b5170a + СП_20270601_1421d8301d4811f183c7005056b5170a + СП_20270701_1421d8301d4811f183c7005056b5170a + СП_20270801_1421d8301d4811f183c7005056b5170a + СП_20270901_1421d8301d4811f183c7005056b5170a + СП_20271001_1421d8301d4811f183c7005056b5170a + СП_20271101_1421d8301d4811f183c7005056b5170a + СП_20271201_1421d8301d4811f183c7005056b5170a</f>
        <v>0</v>
      </c>
    </row>
    <row r="24" spans="1:15" ht="15" customHeight="1" outlineLevel="3" x14ac:dyDescent="0.25">
      <c r="A24" s="3" t="s">
        <v>54</v>
      </c>
      <c r="B24" s="3" t="s">
        <v>55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4">
        <f>СП_20270101_584645171d5511f183c7005056b5170a + СП_20270201_584645171d5511f183c7005056b5170a + СП_20270301_584645171d5511f183c7005056b5170a + СП_20270401_584645171d5511f183c7005056b5170a + СП_20270501_584645171d5511f183c7005056b5170a + СП_20270601_584645171d5511f183c7005056b5170a + СП_20270701_584645171d5511f183c7005056b5170a + СП_20270801_584645171d5511f183c7005056b5170a + СП_20270901_584645171d5511f183c7005056b5170a + СП_20271001_584645171d5511f183c7005056b5170a + СП_20271101_584645171d5511f183c7005056b5170a + СП_20271201_584645171d5511f183c7005056b5170a</f>
        <v>0</v>
      </c>
    </row>
    <row r="25" spans="1:15" ht="15" customHeight="1" outlineLevel="3" x14ac:dyDescent="0.25">
      <c r="A25" s="3" t="s">
        <v>56</v>
      </c>
      <c r="B25" s="3" t="s">
        <v>57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4">
        <f>СП_20270101_806711dd1d5511f183c7005056b5170a + СП_20270201_806711dd1d5511f183c7005056b5170a + СП_20270301_806711dd1d5511f183c7005056b5170a + СП_20270401_806711dd1d5511f183c7005056b5170a + СП_20270501_806711dd1d5511f183c7005056b5170a + СП_20270601_806711dd1d5511f183c7005056b5170a + СП_20270701_806711dd1d5511f183c7005056b5170a + СП_20270801_806711dd1d5511f183c7005056b5170a + СП_20270901_806711dd1d5511f183c7005056b5170a + СП_20271001_806711dd1d5511f183c7005056b5170a + СП_20271101_806711dd1d5511f183c7005056b5170a + СП_20271201_806711dd1d5511f183c7005056b5170a</f>
        <v>0</v>
      </c>
    </row>
    <row r="26" spans="1:15" ht="15" customHeight="1" outlineLevel="3" x14ac:dyDescent="0.25">
      <c r="A26" s="3" t="s">
        <v>58</v>
      </c>
      <c r="B26" s="3" t="s">
        <v>59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4">
        <f>СП_20270101_b1def38f1d5511f183c7005056b5170a + СП_20270201_b1def38f1d5511f183c7005056b5170a + СП_20270301_b1def38f1d5511f183c7005056b5170a + СП_20270401_b1def38f1d5511f183c7005056b5170a + СП_20270501_b1def38f1d5511f183c7005056b5170a + СП_20270601_b1def38f1d5511f183c7005056b5170a + СП_20270701_b1def38f1d5511f183c7005056b5170a + СП_20270801_b1def38f1d5511f183c7005056b5170a + СП_20270901_b1def38f1d5511f183c7005056b5170a + СП_20271001_b1def38f1d5511f183c7005056b5170a + СП_20271101_b1def38f1d5511f183c7005056b5170a + СП_20271201_b1def38f1d5511f183c7005056b5170a</f>
        <v>0</v>
      </c>
    </row>
    <row r="27" spans="1:15" ht="15" customHeight="1" outlineLevel="3" x14ac:dyDescent="0.25">
      <c r="A27" s="3" t="s">
        <v>60</v>
      </c>
      <c r="B27" s="3" t="s">
        <v>61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4">
        <f>СП_20270101_a477ec4f545211f183c8005056b5170a + СП_20270201_a477ec4f545211f183c8005056b5170a + СП_20270301_a477ec4f545211f183c8005056b5170a + СП_20270401_a477ec4f545211f183c8005056b5170a + СП_20270501_a477ec4f545211f183c8005056b5170a + СП_20270601_a477ec4f545211f183c8005056b5170a + СП_20270701_a477ec4f545211f183c8005056b5170a + СП_20270801_a477ec4f545211f183c8005056b5170a + СП_20270901_a477ec4f545211f183c8005056b5170a + СП_20271001_a477ec4f545211f183c8005056b5170a + СП_20271101_a477ec4f545211f183c8005056b5170a + СП_20271201_a477ec4f545211f183c8005056b5170a</f>
        <v>0</v>
      </c>
    </row>
    <row r="28" spans="1:15" ht="15" customHeight="1" outlineLevel="2" x14ac:dyDescent="0.25">
      <c r="A28" s="3" t="s">
        <v>62</v>
      </c>
      <c r="B28" s="3" t="s">
        <v>63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4">
        <f>СП_20270101_f9883edd0bfd11f183c6005056b5170a + СП_20270201_f9883edd0bfd11f183c6005056b5170a + СП_20270301_f9883edd0bfd11f183c6005056b5170a + СП_20270401_f9883edd0bfd11f183c6005056b5170a + СП_20270501_f9883edd0bfd11f183c6005056b5170a + СП_20270601_f9883edd0bfd11f183c6005056b5170a + СП_20270701_f9883edd0bfd11f183c6005056b5170a + СП_20270801_f9883edd0bfd11f183c6005056b5170a + СП_20270901_f9883edd0bfd11f183c6005056b5170a + СП_20271001_f9883edd0bfd11f183c6005056b5170a + СП_20271101_f9883edd0bfd11f183c6005056b5170a + СП_20271201_f9883edd0bfd11f183c6005056b5170a</f>
        <v>0</v>
      </c>
    </row>
    <row r="29" spans="1:15" ht="15" customHeight="1" outlineLevel="2" x14ac:dyDescent="0.25">
      <c r="A29" s="3" t="s">
        <v>64</v>
      </c>
      <c r="B29" s="3" t="s">
        <v>65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4">
        <f>СП_20270101_74e570081d4811f183c7005056b5170a + СП_20270201_74e570081d4811f183c7005056b5170a + СП_20270301_74e570081d4811f183c7005056b5170a + СП_20270401_74e570081d4811f183c7005056b5170a + СП_20270501_74e570081d4811f183c7005056b5170a + СП_20270601_74e570081d4811f183c7005056b5170a + СП_20270701_74e570081d4811f183c7005056b5170a + СП_20270801_74e570081d4811f183c7005056b5170a + СП_20270901_74e570081d4811f183c7005056b5170a + СП_20271001_74e570081d4811f183c7005056b5170a + СП_20271101_74e570081d4811f183c7005056b5170a + СП_20271201_74e570081d4811f183c7005056b5170a</f>
        <v>0</v>
      </c>
    </row>
    <row r="30" spans="1:15" ht="15" customHeight="1" outlineLevel="1" x14ac:dyDescent="0.25">
      <c r="A30" s="3" t="s">
        <v>66</v>
      </c>
      <c r="B30" s="3" t="s">
        <v>67</v>
      </c>
      <c r="C30" s="4">
        <f>СП_20270101_feb6a2a0c7cd11f1863a005056b5e863 + СП_20270101_f8b82007c7cd11f1863a005056b5e863 + СП_20270101_f8b82002c7cd11f1863a005056b5e863 + СП_20270101_feb6a2a7c7cd11f1863a005056b5e863 + СП_20270101_feb6a2afc7cd11f1863a005056b5e863 + СП_20270101_feb6a2e0c7cd11f1863a005056b5e863 + СП_20270101_feb6a30bc7cd11f1863a005056b5e863 + СП_20270101_feb6a310c7cd11f1863a005056b5e863 + СП_20270101_feb6a316c7cd11f1863a005056b5e863 + СП_20270101_f8b81ffdc7cd11f1863a005056b5e863 + СП_20270101_3c712981dfb011e982ef005056a1be4c + СП_20270101_feb6a31dc7cd11f1863a005056b5e863</f>
        <v>0</v>
      </c>
      <c r="D30" s="4">
        <f>СП_20270201_feb6a2a0c7cd11f1863a005056b5e863 + СП_20270201_f8b82007c7cd11f1863a005056b5e863 + СП_20270201_f8b82002c7cd11f1863a005056b5e863 + СП_20270201_feb6a2a7c7cd11f1863a005056b5e863 + СП_20270201_feb6a2afc7cd11f1863a005056b5e863 + СП_20270201_feb6a2e0c7cd11f1863a005056b5e863 + СП_20270201_feb6a30bc7cd11f1863a005056b5e863 + СП_20270201_feb6a310c7cd11f1863a005056b5e863 + СП_20270201_feb6a316c7cd11f1863a005056b5e863 + СП_20270201_f8b81ffdc7cd11f1863a005056b5e863 + СП_20270201_3c712981dfb011e982ef005056a1be4c + СП_20270201_feb6a31dc7cd11f1863a005056b5e863</f>
        <v>0</v>
      </c>
      <c r="E30" s="4">
        <f>СП_20270301_feb6a2a0c7cd11f1863a005056b5e863 + СП_20270301_f8b82007c7cd11f1863a005056b5e863 + СП_20270301_f8b82002c7cd11f1863a005056b5e863 + СП_20270301_feb6a2a7c7cd11f1863a005056b5e863 + СП_20270301_feb6a2afc7cd11f1863a005056b5e863 + СП_20270301_feb6a2e0c7cd11f1863a005056b5e863 + СП_20270301_feb6a30bc7cd11f1863a005056b5e863 + СП_20270301_feb6a310c7cd11f1863a005056b5e863 + СП_20270301_feb6a316c7cd11f1863a005056b5e863 + СП_20270301_f8b81ffdc7cd11f1863a005056b5e863 + СП_20270301_3c712981dfb011e982ef005056a1be4c + СП_20270301_feb6a31dc7cd11f1863a005056b5e863</f>
        <v>0</v>
      </c>
      <c r="F30" s="4">
        <f>СП_20270401_feb6a2a0c7cd11f1863a005056b5e863 + СП_20270401_f8b82007c7cd11f1863a005056b5e863 + СП_20270401_f8b82002c7cd11f1863a005056b5e863 + СП_20270401_feb6a2a7c7cd11f1863a005056b5e863 + СП_20270401_feb6a2afc7cd11f1863a005056b5e863 + СП_20270401_feb6a2e0c7cd11f1863a005056b5e863 + СП_20270401_feb6a30bc7cd11f1863a005056b5e863 + СП_20270401_feb6a310c7cd11f1863a005056b5e863 + СП_20270401_feb6a316c7cd11f1863a005056b5e863 + СП_20270401_f8b81ffdc7cd11f1863a005056b5e863 + СП_20270401_3c712981dfb011e982ef005056a1be4c + СП_20270401_feb6a31dc7cd11f1863a005056b5e863</f>
        <v>0</v>
      </c>
      <c r="G30" s="4">
        <f>СП_20270501_feb6a2a0c7cd11f1863a005056b5e863 + СП_20270501_f8b82007c7cd11f1863a005056b5e863 + СП_20270501_f8b82002c7cd11f1863a005056b5e863 + СП_20270501_feb6a2a7c7cd11f1863a005056b5e863 + СП_20270501_feb6a2afc7cd11f1863a005056b5e863 + СП_20270501_feb6a2e0c7cd11f1863a005056b5e863 + СП_20270501_feb6a30bc7cd11f1863a005056b5e863 + СП_20270501_feb6a310c7cd11f1863a005056b5e863 + СП_20270501_feb6a316c7cd11f1863a005056b5e863 + СП_20270501_f8b81ffdc7cd11f1863a005056b5e863 + СП_20270501_3c712981dfb011e982ef005056a1be4c + СП_20270501_feb6a31dc7cd11f1863a005056b5e863</f>
        <v>0</v>
      </c>
      <c r="H30" s="4">
        <f>СП_20270601_feb6a2a0c7cd11f1863a005056b5e863 + СП_20270601_f8b82007c7cd11f1863a005056b5e863 + СП_20270601_f8b82002c7cd11f1863a005056b5e863 + СП_20270601_feb6a2a7c7cd11f1863a005056b5e863 + СП_20270601_feb6a2afc7cd11f1863a005056b5e863 + СП_20270601_feb6a2e0c7cd11f1863a005056b5e863 + СП_20270601_feb6a30bc7cd11f1863a005056b5e863 + СП_20270601_feb6a310c7cd11f1863a005056b5e863 + СП_20270601_feb6a316c7cd11f1863a005056b5e863 + СП_20270601_f8b81ffdc7cd11f1863a005056b5e863 + СП_20270601_3c712981dfb011e982ef005056a1be4c + СП_20270601_feb6a31dc7cd11f1863a005056b5e863</f>
        <v>0</v>
      </c>
      <c r="I30" s="4">
        <f>СП_20270701_feb6a2a0c7cd11f1863a005056b5e863 + СП_20270701_f8b82007c7cd11f1863a005056b5e863 + СП_20270701_f8b82002c7cd11f1863a005056b5e863 + СП_20270701_feb6a2a7c7cd11f1863a005056b5e863 + СП_20270701_feb6a2afc7cd11f1863a005056b5e863 + СП_20270701_feb6a2e0c7cd11f1863a005056b5e863 + СП_20270701_feb6a30bc7cd11f1863a005056b5e863 + СП_20270701_feb6a310c7cd11f1863a005056b5e863 + СП_20270701_feb6a316c7cd11f1863a005056b5e863 + СП_20270701_f8b81ffdc7cd11f1863a005056b5e863 + СП_20270701_3c712981dfb011e982ef005056a1be4c + СП_20270701_feb6a31dc7cd11f1863a005056b5e863</f>
        <v>0</v>
      </c>
      <c r="J30" s="4">
        <f>СП_20270801_feb6a2a0c7cd11f1863a005056b5e863 + СП_20270801_f8b82007c7cd11f1863a005056b5e863 + СП_20270801_f8b82002c7cd11f1863a005056b5e863 + СП_20270801_feb6a2a7c7cd11f1863a005056b5e863 + СП_20270801_feb6a2afc7cd11f1863a005056b5e863 + СП_20270801_feb6a2e0c7cd11f1863a005056b5e863 + СП_20270801_feb6a30bc7cd11f1863a005056b5e863 + СП_20270801_feb6a310c7cd11f1863a005056b5e863 + СП_20270801_feb6a316c7cd11f1863a005056b5e863 + СП_20270801_f8b81ffdc7cd11f1863a005056b5e863 + СП_20270801_3c712981dfb011e982ef005056a1be4c + СП_20270801_feb6a31dc7cd11f1863a005056b5e863</f>
        <v>0</v>
      </c>
      <c r="K30" s="4">
        <f>СП_20270901_feb6a2a0c7cd11f1863a005056b5e863 + СП_20270901_f8b82007c7cd11f1863a005056b5e863 + СП_20270901_f8b82002c7cd11f1863a005056b5e863 + СП_20270901_feb6a2a7c7cd11f1863a005056b5e863 + СП_20270901_feb6a2afc7cd11f1863a005056b5e863 + СП_20270901_feb6a2e0c7cd11f1863a005056b5e863 + СП_20270901_feb6a30bc7cd11f1863a005056b5e863 + СП_20270901_feb6a310c7cd11f1863a005056b5e863 + СП_20270901_feb6a316c7cd11f1863a005056b5e863 + СП_20270901_f8b81ffdc7cd11f1863a005056b5e863 + СП_20270901_3c712981dfb011e982ef005056a1be4c + СП_20270901_feb6a31dc7cd11f1863a005056b5e863</f>
        <v>0</v>
      </c>
      <c r="L30" s="4">
        <f>СП_20271001_feb6a2a0c7cd11f1863a005056b5e863 + СП_20271001_f8b82007c7cd11f1863a005056b5e863 + СП_20271001_f8b82002c7cd11f1863a005056b5e863 + СП_20271001_feb6a2a7c7cd11f1863a005056b5e863 + СП_20271001_feb6a2afc7cd11f1863a005056b5e863 + СП_20271001_feb6a2e0c7cd11f1863a005056b5e863 + СП_20271001_feb6a30bc7cd11f1863a005056b5e863 + СП_20271001_feb6a310c7cd11f1863a005056b5e863 + СП_20271001_feb6a316c7cd11f1863a005056b5e863 + СП_20271001_f8b81ffdc7cd11f1863a005056b5e863 + СП_20271001_3c712981dfb011e982ef005056a1be4c + СП_20271001_feb6a31dc7cd11f1863a005056b5e863</f>
        <v>0</v>
      </c>
      <c r="M30" s="4">
        <f>СП_20271101_feb6a2a0c7cd11f1863a005056b5e863 + СП_20271101_f8b82007c7cd11f1863a005056b5e863 + СП_20271101_f8b82002c7cd11f1863a005056b5e863 + СП_20271101_feb6a2a7c7cd11f1863a005056b5e863 + СП_20271101_feb6a2afc7cd11f1863a005056b5e863 + СП_20271101_feb6a2e0c7cd11f1863a005056b5e863 + СП_20271101_feb6a30bc7cd11f1863a005056b5e863 + СП_20271101_feb6a310c7cd11f1863a005056b5e863 + СП_20271101_feb6a316c7cd11f1863a005056b5e863 + СП_20271101_f8b81ffdc7cd11f1863a005056b5e863 + СП_20271101_3c712981dfb011e982ef005056a1be4c + СП_20271101_feb6a31dc7cd11f1863a005056b5e863</f>
        <v>0</v>
      </c>
      <c r="N30" s="4">
        <f>СП_20271201_feb6a2a0c7cd11f1863a005056b5e863 + СП_20271201_f8b82007c7cd11f1863a005056b5e863 + СП_20271201_f8b82002c7cd11f1863a005056b5e863 + СП_20271201_feb6a2a7c7cd11f1863a005056b5e863 + СП_20271201_feb6a2afc7cd11f1863a005056b5e863 + СП_20271201_feb6a2e0c7cd11f1863a005056b5e863 + СП_20271201_feb6a30bc7cd11f1863a005056b5e863 + СП_20271201_feb6a310c7cd11f1863a005056b5e863 + СП_20271201_feb6a316c7cd11f1863a005056b5e863 + СП_20271201_f8b81ffdc7cd11f1863a005056b5e863 + СП_20271201_3c712981dfb011e982ef005056a1be4c + СП_20271201_feb6a31dc7cd11f1863a005056b5e863</f>
        <v>0</v>
      </c>
      <c r="O30" s="4">
        <f>СП_Итог_feb6a2a0c7cd11f1863a005056b5e863 + СП_Итог_f8b82007c7cd11f1863a005056b5e863 + СП_Итог_f8b82002c7cd11f1863a005056b5e863 + СП_Итог_feb6a2a7c7cd11f1863a005056b5e863 + СП_Итог_feb6a2afc7cd11f1863a005056b5e863 + СП_Итог_feb6a2e0c7cd11f1863a005056b5e863 + СП_Итог_feb6a30bc7cd11f1863a005056b5e863 + СП_Итог_feb6a310c7cd11f1863a005056b5e863 + СП_Итог_feb6a316c7cd11f1863a005056b5e863 + СП_Итог_f8b81ffdc7cd11f1863a005056b5e863 + СП_Итог_3c712981dfb011e982ef005056a1be4c + СП_Итог_feb6a31dc7cd11f1863a005056b5e863</f>
        <v>0</v>
      </c>
    </row>
    <row r="31" spans="1:15" ht="15" customHeight="1" outlineLevel="2" x14ac:dyDescent="0.25">
      <c r="A31" s="3" t="s">
        <v>68</v>
      </c>
      <c r="B31" s="3" t="s">
        <v>69</v>
      </c>
      <c r="C31" s="4">
        <f>СП_20270101_22a01918c7aa11f083a1005056b5170a + СП_20270101_5e534b9ac7aa11f083a1005056b5170a + СП_20270101_6ec5bd18c7aa11f083a1005056b5170a + СП_20270101_7c5e7d4fc7aa11f083a1005056b5170a + СП_20270101_63f6fb3ae48911f083a6005056b5170a + СП_20270101_8e478e15c7aa11f083a1005056b5170a</f>
        <v>0</v>
      </c>
      <c r="D31" s="4">
        <f>СП_20270201_22a01918c7aa11f083a1005056b5170a + СП_20270201_5e534b9ac7aa11f083a1005056b5170a + СП_20270201_6ec5bd18c7aa11f083a1005056b5170a + СП_20270201_7c5e7d4fc7aa11f083a1005056b5170a + СП_20270201_63f6fb3ae48911f083a6005056b5170a + СП_20270201_8e478e15c7aa11f083a1005056b5170a</f>
        <v>0</v>
      </c>
      <c r="E31" s="4">
        <f>СП_20270301_22a01918c7aa11f083a1005056b5170a + СП_20270301_5e534b9ac7aa11f083a1005056b5170a + СП_20270301_6ec5bd18c7aa11f083a1005056b5170a + СП_20270301_7c5e7d4fc7aa11f083a1005056b5170a + СП_20270301_63f6fb3ae48911f083a6005056b5170a + СП_20270301_8e478e15c7aa11f083a1005056b5170a</f>
        <v>0</v>
      </c>
      <c r="F31" s="4">
        <f>СП_20270401_22a01918c7aa11f083a1005056b5170a + СП_20270401_5e534b9ac7aa11f083a1005056b5170a + СП_20270401_6ec5bd18c7aa11f083a1005056b5170a + СП_20270401_7c5e7d4fc7aa11f083a1005056b5170a + СП_20270401_63f6fb3ae48911f083a6005056b5170a + СП_20270401_8e478e15c7aa11f083a1005056b5170a</f>
        <v>0</v>
      </c>
      <c r="G31" s="4">
        <f>СП_20270501_22a01918c7aa11f083a1005056b5170a + СП_20270501_5e534b9ac7aa11f083a1005056b5170a + СП_20270501_6ec5bd18c7aa11f083a1005056b5170a + СП_20270501_7c5e7d4fc7aa11f083a1005056b5170a + СП_20270501_63f6fb3ae48911f083a6005056b5170a + СП_20270501_8e478e15c7aa11f083a1005056b5170a</f>
        <v>0</v>
      </c>
      <c r="H31" s="4">
        <f>СП_20270601_22a01918c7aa11f083a1005056b5170a + СП_20270601_5e534b9ac7aa11f083a1005056b5170a + СП_20270601_6ec5bd18c7aa11f083a1005056b5170a + СП_20270601_7c5e7d4fc7aa11f083a1005056b5170a + СП_20270601_63f6fb3ae48911f083a6005056b5170a + СП_20270601_8e478e15c7aa11f083a1005056b5170a</f>
        <v>0</v>
      </c>
      <c r="I31" s="4">
        <f>СП_20270701_22a01918c7aa11f083a1005056b5170a + СП_20270701_5e534b9ac7aa11f083a1005056b5170a + СП_20270701_6ec5bd18c7aa11f083a1005056b5170a + СП_20270701_7c5e7d4fc7aa11f083a1005056b5170a + СП_20270701_63f6fb3ae48911f083a6005056b5170a + СП_20270701_8e478e15c7aa11f083a1005056b5170a</f>
        <v>0</v>
      </c>
      <c r="J31" s="4">
        <f>СП_20270801_22a01918c7aa11f083a1005056b5170a + СП_20270801_5e534b9ac7aa11f083a1005056b5170a + СП_20270801_6ec5bd18c7aa11f083a1005056b5170a + СП_20270801_7c5e7d4fc7aa11f083a1005056b5170a + СП_20270801_63f6fb3ae48911f083a6005056b5170a + СП_20270801_8e478e15c7aa11f083a1005056b5170a</f>
        <v>0</v>
      </c>
      <c r="K31" s="4">
        <f>СП_20270901_22a01918c7aa11f083a1005056b5170a + СП_20270901_5e534b9ac7aa11f083a1005056b5170a + СП_20270901_6ec5bd18c7aa11f083a1005056b5170a + СП_20270901_7c5e7d4fc7aa11f083a1005056b5170a + СП_20270901_63f6fb3ae48911f083a6005056b5170a + СП_20270901_8e478e15c7aa11f083a1005056b5170a</f>
        <v>0</v>
      </c>
      <c r="L31" s="4">
        <f>СП_20271001_22a01918c7aa11f083a1005056b5170a + СП_20271001_5e534b9ac7aa11f083a1005056b5170a + СП_20271001_6ec5bd18c7aa11f083a1005056b5170a + СП_20271001_7c5e7d4fc7aa11f083a1005056b5170a + СП_20271001_63f6fb3ae48911f083a6005056b5170a + СП_20271001_8e478e15c7aa11f083a1005056b5170a</f>
        <v>0</v>
      </c>
      <c r="M31" s="4">
        <f>СП_20271101_22a01918c7aa11f083a1005056b5170a + СП_20271101_5e534b9ac7aa11f083a1005056b5170a + СП_20271101_6ec5bd18c7aa11f083a1005056b5170a + СП_20271101_7c5e7d4fc7aa11f083a1005056b5170a + СП_20271101_63f6fb3ae48911f083a6005056b5170a + СП_20271101_8e478e15c7aa11f083a1005056b5170a</f>
        <v>0</v>
      </c>
      <c r="N31" s="4">
        <f>СП_20271201_22a01918c7aa11f083a1005056b5170a + СП_20271201_5e534b9ac7aa11f083a1005056b5170a + СП_20271201_6ec5bd18c7aa11f083a1005056b5170a + СП_20271201_7c5e7d4fc7aa11f083a1005056b5170a + СП_20271201_63f6fb3ae48911f083a6005056b5170a + СП_20271201_8e478e15c7aa11f083a1005056b5170a</f>
        <v>0</v>
      </c>
      <c r="O31" s="4">
        <f>СП_Итог_22a01918c7aa11f083a1005056b5170a + СП_Итог_5e534b9ac7aa11f083a1005056b5170a + СП_Итог_6ec5bd18c7aa11f083a1005056b5170a + СП_Итог_7c5e7d4fc7aa11f083a1005056b5170a + СП_Итог_63f6fb3ae48911f083a6005056b5170a + СП_Итог_8e478e15c7aa11f083a1005056b5170a</f>
        <v>0</v>
      </c>
    </row>
    <row r="32" spans="1:15" ht="15" customHeight="1" outlineLevel="3" x14ac:dyDescent="0.25">
      <c r="A32" s="3" t="s">
        <v>70</v>
      </c>
      <c r="B32" s="3" t="s">
        <v>71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4">
        <f>СП_20270101_22a01918c7aa11f083a1005056b5170a + СП_20270201_22a01918c7aa11f083a1005056b5170a + СП_20270301_22a01918c7aa11f083a1005056b5170a + СП_20270401_22a01918c7aa11f083a1005056b5170a + СП_20270501_22a01918c7aa11f083a1005056b5170a + СП_20270601_22a01918c7aa11f083a1005056b5170a + СП_20270701_22a01918c7aa11f083a1005056b5170a + СП_20270801_22a01918c7aa11f083a1005056b5170a + СП_20270901_22a01918c7aa11f083a1005056b5170a + СП_20271001_22a01918c7aa11f083a1005056b5170a + СП_20271101_22a01918c7aa11f083a1005056b5170a + СП_20271201_22a01918c7aa11f083a1005056b5170a</f>
        <v>0</v>
      </c>
    </row>
    <row r="33" spans="1:15" ht="15" customHeight="1" outlineLevel="3" x14ac:dyDescent="0.25">
      <c r="A33" s="3" t="s">
        <v>72</v>
      </c>
      <c r="B33" s="3" t="s">
        <v>73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4">
        <f>СП_20270101_5e534b9ac7aa11f083a1005056b5170a + СП_20270201_5e534b9ac7aa11f083a1005056b5170a + СП_20270301_5e534b9ac7aa11f083a1005056b5170a + СП_20270401_5e534b9ac7aa11f083a1005056b5170a + СП_20270501_5e534b9ac7aa11f083a1005056b5170a + СП_20270601_5e534b9ac7aa11f083a1005056b5170a + СП_20270701_5e534b9ac7aa11f083a1005056b5170a + СП_20270801_5e534b9ac7aa11f083a1005056b5170a + СП_20270901_5e534b9ac7aa11f083a1005056b5170a + СП_20271001_5e534b9ac7aa11f083a1005056b5170a + СП_20271101_5e534b9ac7aa11f083a1005056b5170a + СП_20271201_5e534b9ac7aa11f083a1005056b5170a</f>
        <v>0</v>
      </c>
    </row>
    <row r="34" spans="1:15" ht="15" customHeight="1" outlineLevel="3" x14ac:dyDescent="0.25">
      <c r="A34" s="3" t="s">
        <v>74</v>
      </c>
      <c r="B34" s="3" t="s">
        <v>75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4">
        <f>СП_20270101_6ec5bd18c7aa11f083a1005056b5170a + СП_20270201_6ec5bd18c7aa11f083a1005056b5170a + СП_20270301_6ec5bd18c7aa11f083a1005056b5170a + СП_20270401_6ec5bd18c7aa11f083a1005056b5170a + СП_20270501_6ec5bd18c7aa11f083a1005056b5170a + СП_20270601_6ec5bd18c7aa11f083a1005056b5170a + СП_20270701_6ec5bd18c7aa11f083a1005056b5170a + СП_20270801_6ec5bd18c7aa11f083a1005056b5170a + СП_20270901_6ec5bd18c7aa11f083a1005056b5170a + СП_20271001_6ec5bd18c7aa11f083a1005056b5170a + СП_20271101_6ec5bd18c7aa11f083a1005056b5170a + СП_20271201_6ec5bd18c7aa11f083a1005056b5170a</f>
        <v>0</v>
      </c>
    </row>
    <row r="35" spans="1:15" ht="15" customHeight="1" outlineLevel="3" x14ac:dyDescent="0.25">
      <c r="A35" s="3" t="s">
        <v>76</v>
      </c>
      <c r="B35" s="3" t="s">
        <v>77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4">
        <f>СП_20270101_7c5e7d4fc7aa11f083a1005056b5170a + СП_20270201_7c5e7d4fc7aa11f083a1005056b5170a + СП_20270301_7c5e7d4fc7aa11f083a1005056b5170a + СП_20270401_7c5e7d4fc7aa11f083a1005056b5170a + СП_20270501_7c5e7d4fc7aa11f083a1005056b5170a + СП_20270601_7c5e7d4fc7aa11f083a1005056b5170a + СП_20270701_7c5e7d4fc7aa11f083a1005056b5170a + СП_20270801_7c5e7d4fc7aa11f083a1005056b5170a + СП_20270901_7c5e7d4fc7aa11f083a1005056b5170a + СП_20271001_7c5e7d4fc7aa11f083a1005056b5170a + СП_20271101_7c5e7d4fc7aa11f083a1005056b5170a + СП_20271201_7c5e7d4fc7aa11f083a1005056b5170a</f>
        <v>0</v>
      </c>
    </row>
    <row r="36" spans="1:15" ht="15" customHeight="1" outlineLevel="3" x14ac:dyDescent="0.25">
      <c r="A36" s="3" t="s">
        <v>78</v>
      </c>
      <c r="B36" s="3" t="s">
        <v>79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4">
        <f>СП_20270101_63f6fb3ae48911f083a6005056b5170a + СП_20270201_63f6fb3ae48911f083a6005056b5170a + СП_20270301_63f6fb3ae48911f083a6005056b5170a + СП_20270401_63f6fb3ae48911f083a6005056b5170a + СП_20270501_63f6fb3ae48911f083a6005056b5170a + СП_20270601_63f6fb3ae48911f083a6005056b5170a + СП_20270701_63f6fb3ae48911f083a6005056b5170a + СП_20270801_63f6fb3ae48911f083a6005056b5170a + СП_20270901_63f6fb3ae48911f083a6005056b5170a + СП_20271001_63f6fb3ae48911f083a6005056b5170a + СП_20271101_63f6fb3ae48911f083a6005056b5170a + СП_20271201_63f6fb3ae48911f083a6005056b5170a</f>
        <v>0</v>
      </c>
    </row>
    <row r="37" spans="1:15" ht="15" customHeight="1" outlineLevel="3" x14ac:dyDescent="0.25">
      <c r="A37" s="3" t="s">
        <v>80</v>
      </c>
      <c r="B37" s="3" t="s">
        <v>81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4">
        <f>СП_20270101_8e478e15c7aa11f083a1005056b5170a + СП_20270201_8e478e15c7aa11f083a1005056b5170a + СП_20270301_8e478e15c7aa11f083a1005056b5170a + СП_20270401_8e478e15c7aa11f083a1005056b5170a + СП_20270501_8e478e15c7aa11f083a1005056b5170a + СП_20270601_8e478e15c7aa11f083a1005056b5170a + СП_20270701_8e478e15c7aa11f083a1005056b5170a + СП_20270801_8e478e15c7aa11f083a1005056b5170a + СП_20270901_8e478e15c7aa11f083a1005056b5170a + СП_20271001_8e478e15c7aa11f083a1005056b5170a + СП_20271101_8e478e15c7aa11f083a1005056b5170a + СП_20271201_8e478e15c7aa11f083a1005056b5170a</f>
        <v>0</v>
      </c>
    </row>
    <row r="38" spans="1:15" ht="15" customHeight="1" outlineLevel="2" x14ac:dyDescent="0.25">
      <c r="A38" s="3" t="s">
        <v>82</v>
      </c>
      <c r="B38" s="3" t="s">
        <v>83</v>
      </c>
      <c r="C38" s="4">
        <f>СП_20270101_c7add6d76a4811e4805ad4ae526f013e + СП_20270101_018a9487c7b411f083a1005056b5170a + СП_20270101_196bb604c7b411f083a1005056b5170a + СП_20270101_c7add6d46a4811e4805ad4ae526f013e + СП_20270101_c7add6d06a4811e4805ad4ae526f013e + СП_20270101_f6bf7d1ec7b411f083a1005056b5170a + СП_20270101_1daed84fc7b511f083a1005056b5170a + СП_20270101_445c2761c7b511f083a1005056b5170a + СП_20270101_c7add6d36a4811e4805ad4ae526f013e + СП_20270101_c7add6d26a4811e4805ad4ae526f013e + СП_20270101_5b33182ac7b611f083a1005056b5170a + СП_20270101_c7add7056a4811e4805ad4ae526f013e + СП_20270101_c7add7266a4811e4805ad4ae526f013e + СП_20270101_c7add7046a4811e4805ad4ae526f013e + СП_20270101_c7add7066a4811e4805ad4ae526f013e + СП_20270101_c7add6cc6a4811e4805ad4ae526f013e + СП_20270101_477830aa94da11ee8376005056a1be4c + СП_20270101_6277513ac7b711f083a1005056b5170a + СП_20270101_34aab0c2990f11ef8384005056b5170a</f>
        <v>0</v>
      </c>
      <c r="D38" s="4">
        <f>СП_20270201_c7add6d76a4811e4805ad4ae526f013e + СП_20270201_018a9487c7b411f083a1005056b5170a + СП_20270201_196bb604c7b411f083a1005056b5170a + СП_20270201_c7add6d46a4811e4805ad4ae526f013e + СП_20270201_c7add6d06a4811e4805ad4ae526f013e + СП_20270201_f6bf7d1ec7b411f083a1005056b5170a + СП_20270201_1daed84fc7b511f083a1005056b5170a + СП_20270201_445c2761c7b511f083a1005056b5170a + СП_20270201_c7add6d36a4811e4805ad4ae526f013e + СП_20270201_c7add6d26a4811e4805ad4ae526f013e + СП_20270201_5b33182ac7b611f083a1005056b5170a + СП_20270201_c7add7056a4811e4805ad4ae526f013e + СП_20270201_c7add7266a4811e4805ad4ae526f013e + СП_20270201_c7add7046a4811e4805ad4ae526f013e + СП_20270201_c7add7066a4811e4805ad4ae526f013e + СП_20270201_c7add6cc6a4811e4805ad4ae526f013e + СП_20270201_477830aa94da11ee8376005056a1be4c + СП_20270201_6277513ac7b711f083a1005056b5170a + СП_20270201_34aab0c2990f11ef8384005056b5170a</f>
        <v>0</v>
      </c>
      <c r="E38" s="4">
        <f>СП_20270301_c7add6d76a4811e4805ad4ae526f013e + СП_20270301_018a9487c7b411f083a1005056b5170a + СП_20270301_196bb604c7b411f083a1005056b5170a + СП_20270301_c7add6d46a4811e4805ad4ae526f013e + СП_20270301_c7add6d06a4811e4805ad4ae526f013e + СП_20270301_f6bf7d1ec7b411f083a1005056b5170a + СП_20270301_1daed84fc7b511f083a1005056b5170a + СП_20270301_445c2761c7b511f083a1005056b5170a + СП_20270301_c7add6d36a4811e4805ad4ae526f013e + СП_20270301_c7add6d26a4811e4805ad4ae526f013e + СП_20270301_5b33182ac7b611f083a1005056b5170a + СП_20270301_c7add7056a4811e4805ad4ae526f013e + СП_20270301_c7add7266a4811e4805ad4ae526f013e + СП_20270301_c7add7046a4811e4805ad4ae526f013e + СП_20270301_c7add7066a4811e4805ad4ae526f013e + СП_20270301_c7add6cc6a4811e4805ad4ae526f013e + СП_20270301_477830aa94da11ee8376005056a1be4c + СП_20270301_6277513ac7b711f083a1005056b5170a + СП_20270301_34aab0c2990f11ef8384005056b5170a</f>
        <v>0</v>
      </c>
      <c r="F38" s="4">
        <f>СП_20270401_c7add6d76a4811e4805ad4ae526f013e + СП_20270401_018a9487c7b411f083a1005056b5170a + СП_20270401_196bb604c7b411f083a1005056b5170a + СП_20270401_c7add6d46a4811e4805ad4ae526f013e + СП_20270401_c7add6d06a4811e4805ad4ae526f013e + СП_20270401_f6bf7d1ec7b411f083a1005056b5170a + СП_20270401_1daed84fc7b511f083a1005056b5170a + СП_20270401_445c2761c7b511f083a1005056b5170a + СП_20270401_c7add6d36a4811e4805ad4ae526f013e + СП_20270401_c7add6d26a4811e4805ad4ae526f013e + СП_20270401_5b33182ac7b611f083a1005056b5170a + СП_20270401_c7add7056a4811e4805ad4ae526f013e + СП_20270401_c7add7266a4811e4805ad4ae526f013e + СП_20270401_c7add7046a4811e4805ad4ae526f013e + СП_20270401_c7add7066a4811e4805ad4ae526f013e + СП_20270401_c7add6cc6a4811e4805ad4ae526f013e + СП_20270401_477830aa94da11ee8376005056a1be4c + СП_20270401_6277513ac7b711f083a1005056b5170a + СП_20270401_34aab0c2990f11ef8384005056b5170a</f>
        <v>0</v>
      </c>
      <c r="G38" s="4">
        <f>СП_20270501_c7add6d76a4811e4805ad4ae526f013e + СП_20270501_018a9487c7b411f083a1005056b5170a + СП_20270501_196bb604c7b411f083a1005056b5170a + СП_20270501_c7add6d46a4811e4805ad4ae526f013e + СП_20270501_c7add6d06a4811e4805ad4ae526f013e + СП_20270501_f6bf7d1ec7b411f083a1005056b5170a + СП_20270501_1daed84fc7b511f083a1005056b5170a + СП_20270501_445c2761c7b511f083a1005056b5170a + СП_20270501_c7add6d36a4811e4805ad4ae526f013e + СП_20270501_c7add6d26a4811e4805ad4ae526f013e + СП_20270501_5b33182ac7b611f083a1005056b5170a + СП_20270501_c7add7056a4811e4805ad4ae526f013e + СП_20270501_c7add7266a4811e4805ad4ae526f013e + СП_20270501_c7add7046a4811e4805ad4ae526f013e + СП_20270501_c7add7066a4811e4805ad4ae526f013e + СП_20270501_c7add6cc6a4811e4805ad4ae526f013e + СП_20270501_477830aa94da11ee8376005056a1be4c + СП_20270501_6277513ac7b711f083a1005056b5170a + СП_20270501_34aab0c2990f11ef8384005056b5170a</f>
        <v>0</v>
      </c>
      <c r="H38" s="4">
        <f>СП_20270601_c7add6d76a4811e4805ad4ae526f013e + СП_20270601_018a9487c7b411f083a1005056b5170a + СП_20270601_196bb604c7b411f083a1005056b5170a + СП_20270601_c7add6d46a4811e4805ad4ae526f013e + СП_20270601_c7add6d06a4811e4805ad4ae526f013e + СП_20270601_f6bf7d1ec7b411f083a1005056b5170a + СП_20270601_1daed84fc7b511f083a1005056b5170a + СП_20270601_445c2761c7b511f083a1005056b5170a + СП_20270601_c7add6d36a4811e4805ad4ae526f013e + СП_20270601_c7add6d26a4811e4805ad4ae526f013e + СП_20270601_5b33182ac7b611f083a1005056b5170a + СП_20270601_c7add7056a4811e4805ad4ae526f013e + СП_20270601_c7add7266a4811e4805ad4ae526f013e + СП_20270601_c7add7046a4811e4805ad4ae526f013e + СП_20270601_c7add7066a4811e4805ad4ae526f013e + СП_20270601_c7add6cc6a4811e4805ad4ae526f013e + СП_20270601_477830aa94da11ee8376005056a1be4c + СП_20270601_6277513ac7b711f083a1005056b5170a + СП_20270601_34aab0c2990f11ef8384005056b5170a</f>
        <v>0</v>
      </c>
      <c r="I38" s="4">
        <f>СП_20270701_c7add6d76a4811e4805ad4ae526f013e + СП_20270701_018a9487c7b411f083a1005056b5170a + СП_20270701_196bb604c7b411f083a1005056b5170a + СП_20270701_c7add6d46a4811e4805ad4ae526f013e + СП_20270701_c7add6d06a4811e4805ad4ae526f013e + СП_20270701_f6bf7d1ec7b411f083a1005056b5170a + СП_20270701_1daed84fc7b511f083a1005056b5170a + СП_20270701_445c2761c7b511f083a1005056b5170a + СП_20270701_c7add6d36a4811e4805ad4ae526f013e + СП_20270701_c7add6d26a4811e4805ad4ae526f013e + СП_20270701_5b33182ac7b611f083a1005056b5170a + СП_20270701_c7add7056a4811e4805ad4ae526f013e + СП_20270701_c7add7266a4811e4805ad4ae526f013e + СП_20270701_c7add7046a4811e4805ad4ae526f013e + СП_20270701_c7add7066a4811e4805ad4ae526f013e + СП_20270701_c7add6cc6a4811e4805ad4ae526f013e + СП_20270701_477830aa94da11ee8376005056a1be4c + СП_20270701_6277513ac7b711f083a1005056b5170a + СП_20270701_34aab0c2990f11ef8384005056b5170a</f>
        <v>0</v>
      </c>
      <c r="J38" s="4">
        <f>СП_20270801_c7add6d76a4811e4805ad4ae526f013e + СП_20270801_018a9487c7b411f083a1005056b5170a + СП_20270801_196bb604c7b411f083a1005056b5170a + СП_20270801_c7add6d46a4811e4805ad4ae526f013e + СП_20270801_c7add6d06a4811e4805ad4ae526f013e + СП_20270801_f6bf7d1ec7b411f083a1005056b5170a + СП_20270801_1daed84fc7b511f083a1005056b5170a + СП_20270801_445c2761c7b511f083a1005056b5170a + СП_20270801_c7add6d36a4811e4805ad4ae526f013e + СП_20270801_c7add6d26a4811e4805ad4ae526f013e + СП_20270801_5b33182ac7b611f083a1005056b5170a + СП_20270801_c7add7056a4811e4805ad4ae526f013e + СП_20270801_c7add7266a4811e4805ad4ae526f013e + СП_20270801_c7add7046a4811e4805ad4ae526f013e + СП_20270801_c7add7066a4811e4805ad4ae526f013e + СП_20270801_c7add6cc6a4811e4805ad4ae526f013e + СП_20270801_477830aa94da11ee8376005056a1be4c + СП_20270801_6277513ac7b711f083a1005056b5170a + СП_20270801_34aab0c2990f11ef8384005056b5170a</f>
        <v>0</v>
      </c>
      <c r="K38" s="4">
        <f>СП_20270901_c7add6d76a4811e4805ad4ae526f013e + СП_20270901_018a9487c7b411f083a1005056b5170a + СП_20270901_196bb604c7b411f083a1005056b5170a + СП_20270901_c7add6d46a4811e4805ad4ae526f013e + СП_20270901_c7add6d06a4811e4805ad4ae526f013e + СП_20270901_f6bf7d1ec7b411f083a1005056b5170a + СП_20270901_1daed84fc7b511f083a1005056b5170a + СП_20270901_445c2761c7b511f083a1005056b5170a + СП_20270901_c7add6d36a4811e4805ad4ae526f013e + СП_20270901_c7add6d26a4811e4805ad4ae526f013e + СП_20270901_5b33182ac7b611f083a1005056b5170a + СП_20270901_c7add7056a4811e4805ad4ae526f013e + СП_20270901_c7add7266a4811e4805ad4ae526f013e + СП_20270901_c7add7046a4811e4805ad4ae526f013e + СП_20270901_c7add7066a4811e4805ad4ae526f013e + СП_20270901_c7add6cc6a4811e4805ad4ae526f013e + СП_20270901_477830aa94da11ee8376005056a1be4c + СП_20270901_6277513ac7b711f083a1005056b5170a + СП_20270901_34aab0c2990f11ef8384005056b5170a</f>
        <v>0</v>
      </c>
      <c r="L38" s="4">
        <f>СП_20271001_c7add6d76a4811e4805ad4ae526f013e + СП_20271001_018a9487c7b411f083a1005056b5170a + СП_20271001_196bb604c7b411f083a1005056b5170a + СП_20271001_c7add6d46a4811e4805ad4ae526f013e + СП_20271001_c7add6d06a4811e4805ad4ae526f013e + СП_20271001_f6bf7d1ec7b411f083a1005056b5170a + СП_20271001_1daed84fc7b511f083a1005056b5170a + СП_20271001_445c2761c7b511f083a1005056b5170a + СП_20271001_c7add6d36a4811e4805ad4ae526f013e + СП_20271001_c7add6d26a4811e4805ad4ae526f013e + СП_20271001_5b33182ac7b611f083a1005056b5170a + СП_20271001_c7add7056a4811e4805ad4ae526f013e + СП_20271001_c7add7266a4811e4805ad4ae526f013e + СП_20271001_c7add7046a4811e4805ad4ae526f013e + СП_20271001_c7add7066a4811e4805ad4ae526f013e + СП_20271001_c7add6cc6a4811e4805ad4ae526f013e + СП_20271001_477830aa94da11ee8376005056a1be4c + СП_20271001_6277513ac7b711f083a1005056b5170a + СП_20271001_34aab0c2990f11ef8384005056b5170a</f>
        <v>0</v>
      </c>
      <c r="M38" s="4">
        <f>СП_20271101_c7add6d76a4811e4805ad4ae526f013e + СП_20271101_018a9487c7b411f083a1005056b5170a + СП_20271101_196bb604c7b411f083a1005056b5170a + СП_20271101_c7add6d46a4811e4805ad4ae526f013e + СП_20271101_c7add6d06a4811e4805ad4ae526f013e + СП_20271101_f6bf7d1ec7b411f083a1005056b5170a + СП_20271101_1daed84fc7b511f083a1005056b5170a + СП_20271101_445c2761c7b511f083a1005056b5170a + СП_20271101_c7add6d36a4811e4805ad4ae526f013e + СП_20271101_c7add6d26a4811e4805ad4ae526f013e + СП_20271101_5b33182ac7b611f083a1005056b5170a + СП_20271101_c7add7056a4811e4805ad4ae526f013e + СП_20271101_c7add7266a4811e4805ad4ae526f013e + СП_20271101_c7add7046a4811e4805ad4ae526f013e + СП_20271101_c7add7066a4811e4805ad4ae526f013e + СП_20271101_c7add6cc6a4811e4805ad4ae526f013e + СП_20271101_477830aa94da11ee8376005056a1be4c + СП_20271101_6277513ac7b711f083a1005056b5170a + СП_20271101_34aab0c2990f11ef8384005056b5170a</f>
        <v>0</v>
      </c>
      <c r="N38" s="4">
        <f>СП_20271201_c7add6d76a4811e4805ad4ae526f013e + СП_20271201_018a9487c7b411f083a1005056b5170a + СП_20271201_196bb604c7b411f083a1005056b5170a + СП_20271201_c7add6d46a4811e4805ad4ae526f013e + СП_20271201_c7add6d06a4811e4805ad4ae526f013e + СП_20271201_f6bf7d1ec7b411f083a1005056b5170a + СП_20271201_1daed84fc7b511f083a1005056b5170a + СП_20271201_445c2761c7b511f083a1005056b5170a + СП_20271201_c7add6d36a4811e4805ad4ae526f013e + СП_20271201_c7add6d26a4811e4805ad4ae526f013e + СП_20271201_5b33182ac7b611f083a1005056b5170a + СП_20271201_c7add7056a4811e4805ad4ae526f013e + СП_20271201_c7add7266a4811e4805ad4ae526f013e + СП_20271201_c7add7046a4811e4805ad4ae526f013e + СП_20271201_c7add7066a4811e4805ad4ae526f013e + СП_20271201_c7add6cc6a4811e4805ad4ae526f013e + СП_20271201_477830aa94da11ee8376005056a1be4c + СП_20271201_6277513ac7b711f083a1005056b5170a + СП_20271201_34aab0c2990f11ef8384005056b5170a</f>
        <v>0</v>
      </c>
      <c r="O38" s="4">
        <f>СП_Итог_c7add6d76a4811e4805ad4ae526f013e + СП_Итог_018a9487c7b411f083a1005056b5170a + СП_Итог_196bb604c7b411f083a1005056b5170a + СП_Итог_c7add6d46a4811e4805ad4ae526f013e + СП_Итог_c7add6d06a4811e4805ad4ae526f013e + СП_Итог_f6bf7d1ec7b411f083a1005056b5170a + СП_Итог_1daed84fc7b511f083a1005056b5170a + СП_Итог_445c2761c7b511f083a1005056b5170a + СП_Итог_c7add6d36a4811e4805ad4ae526f013e + СП_Итог_c7add6d26a4811e4805ad4ae526f013e + СП_Итог_5b33182ac7b611f083a1005056b5170a + СП_Итог_c7add7056a4811e4805ad4ae526f013e + СП_Итог_c7add7266a4811e4805ad4ae526f013e + СП_Итог_c7add7046a4811e4805ad4ae526f013e + СП_Итог_c7add7066a4811e4805ad4ae526f013e + СП_Итог_c7add6cc6a4811e4805ad4ae526f013e + СП_Итог_477830aa94da11ee8376005056a1be4c + СП_Итог_6277513ac7b711f083a1005056b5170a + СП_Итог_34aab0c2990f11ef8384005056b5170a</f>
        <v>0</v>
      </c>
    </row>
    <row r="39" spans="1:15" ht="15" customHeight="1" outlineLevel="3" x14ac:dyDescent="0.25">
      <c r="A39" s="3" t="s">
        <v>84</v>
      </c>
      <c r="B39" s="3" t="s">
        <v>85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4">
        <f>СП_20270101_c7add6d76a4811e4805ad4ae526f013e + СП_20270201_c7add6d76a4811e4805ad4ae526f013e + СП_20270301_c7add6d76a4811e4805ad4ae526f013e + СП_20270401_c7add6d76a4811e4805ad4ae526f013e + СП_20270501_c7add6d76a4811e4805ad4ae526f013e + СП_20270601_c7add6d76a4811e4805ad4ae526f013e + СП_20270701_c7add6d76a4811e4805ad4ae526f013e + СП_20270801_c7add6d76a4811e4805ad4ae526f013e + СП_20270901_c7add6d76a4811e4805ad4ae526f013e + СП_20271001_c7add6d76a4811e4805ad4ae526f013e + СП_20271101_c7add6d76a4811e4805ad4ae526f013e + СП_20271201_c7add6d76a4811e4805ad4ae526f013e</f>
        <v>0</v>
      </c>
    </row>
    <row r="40" spans="1:15" ht="15" customHeight="1" outlineLevel="3" x14ac:dyDescent="0.25">
      <c r="A40" s="3" t="s">
        <v>86</v>
      </c>
      <c r="B40" s="3" t="s">
        <v>87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4">
        <f>СП_20270101_018a9487c7b411f083a1005056b5170a + СП_20270201_018a9487c7b411f083a1005056b5170a + СП_20270301_018a9487c7b411f083a1005056b5170a + СП_20270401_018a9487c7b411f083a1005056b5170a + СП_20270501_018a9487c7b411f083a1005056b5170a + СП_20270601_018a9487c7b411f083a1005056b5170a + СП_20270701_018a9487c7b411f083a1005056b5170a + СП_20270801_018a9487c7b411f083a1005056b5170a + СП_20270901_018a9487c7b411f083a1005056b5170a + СП_20271001_018a9487c7b411f083a1005056b5170a + СП_20271101_018a9487c7b411f083a1005056b5170a + СП_20271201_018a9487c7b411f083a1005056b5170a</f>
        <v>0</v>
      </c>
    </row>
    <row r="41" spans="1:15" ht="15" customHeight="1" outlineLevel="3" x14ac:dyDescent="0.25">
      <c r="A41" s="3" t="s">
        <v>88</v>
      </c>
      <c r="B41" s="3" t="s">
        <v>89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4">
        <f>СП_20270101_196bb604c7b411f083a1005056b5170a + СП_20270201_196bb604c7b411f083a1005056b5170a + СП_20270301_196bb604c7b411f083a1005056b5170a + СП_20270401_196bb604c7b411f083a1005056b5170a + СП_20270501_196bb604c7b411f083a1005056b5170a + СП_20270601_196bb604c7b411f083a1005056b5170a + СП_20270701_196bb604c7b411f083a1005056b5170a + СП_20270801_196bb604c7b411f083a1005056b5170a + СП_20270901_196bb604c7b411f083a1005056b5170a + СП_20271001_196bb604c7b411f083a1005056b5170a + СП_20271101_196bb604c7b411f083a1005056b5170a + СП_20271201_196bb604c7b411f083a1005056b5170a</f>
        <v>0</v>
      </c>
    </row>
    <row r="42" spans="1:15" ht="15" customHeight="1" outlineLevel="3" x14ac:dyDescent="0.25">
      <c r="A42" s="3" t="s">
        <v>90</v>
      </c>
      <c r="B42" s="3" t="s">
        <v>91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4">
        <f>СП_20270101_c7add6d46a4811e4805ad4ae526f013e + СП_20270201_c7add6d46a4811e4805ad4ae526f013e + СП_20270301_c7add6d46a4811e4805ad4ae526f013e + СП_20270401_c7add6d46a4811e4805ad4ae526f013e + СП_20270501_c7add6d46a4811e4805ad4ae526f013e + СП_20270601_c7add6d46a4811e4805ad4ae526f013e + СП_20270701_c7add6d46a4811e4805ad4ae526f013e + СП_20270801_c7add6d46a4811e4805ad4ae526f013e + СП_20270901_c7add6d46a4811e4805ad4ae526f013e + СП_20271001_c7add6d46a4811e4805ad4ae526f013e + СП_20271101_c7add6d46a4811e4805ad4ae526f013e + СП_20271201_c7add6d46a4811e4805ad4ae526f013e</f>
        <v>0</v>
      </c>
    </row>
    <row r="43" spans="1:15" ht="15" customHeight="1" outlineLevel="3" x14ac:dyDescent="0.25">
      <c r="A43" s="3" t="s">
        <v>92</v>
      </c>
      <c r="B43" s="3" t="s">
        <v>93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4">
        <f>СП_20270101_c7add6d06a4811e4805ad4ae526f013e + СП_20270201_c7add6d06a4811e4805ad4ae526f013e + СП_20270301_c7add6d06a4811e4805ad4ae526f013e + СП_20270401_c7add6d06a4811e4805ad4ae526f013e + СП_20270501_c7add6d06a4811e4805ad4ae526f013e + СП_20270601_c7add6d06a4811e4805ad4ae526f013e + СП_20270701_c7add6d06a4811e4805ad4ae526f013e + СП_20270801_c7add6d06a4811e4805ad4ae526f013e + СП_20270901_c7add6d06a4811e4805ad4ae526f013e + СП_20271001_c7add6d06a4811e4805ad4ae526f013e + СП_20271101_c7add6d06a4811e4805ad4ae526f013e + СП_20271201_c7add6d06a4811e4805ad4ae526f013e</f>
        <v>0</v>
      </c>
    </row>
    <row r="44" spans="1:15" ht="15" customHeight="1" outlineLevel="3" x14ac:dyDescent="0.25">
      <c r="A44" s="3" t="s">
        <v>94</v>
      </c>
      <c r="B44" s="3" t="s">
        <v>95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4">
        <f>СП_20270101_f6bf7d1ec7b411f083a1005056b5170a + СП_20270201_f6bf7d1ec7b411f083a1005056b5170a + СП_20270301_f6bf7d1ec7b411f083a1005056b5170a + СП_20270401_f6bf7d1ec7b411f083a1005056b5170a + СП_20270501_f6bf7d1ec7b411f083a1005056b5170a + СП_20270601_f6bf7d1ec7b411f083a1005056b5170a + СП_20270701_f6bf7d1ec7b411f083a1005056b5170a + СП_20270801_f6bf7d1ec7b411f083a1005056b5170a + СП_20270901_f6bf7d1ec7b411f083a1005056b5170a + СП_20271001_f6bf7d1ec7b411f083a1005056b5170a + СП_20271101_f6bf7d1ec7b411f083a1005056b5170a + СП_20271201_f6bf7d1ec7b411f083a1005056b5170a</f>
        <v>0</v>
      </c>
    </row>
    <row r="45" spans="1:15" ht="15" customHeight="1" outlineLevel="3" x14ac:dyDescent="0.25">
      <c r="A45" s="3" t="s">
        <v>96</v>
      </c>
      <c r="B45" s="3" t="s">
        <v>97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4">
        <f>СП_20270101_1daed84fc7b511f083a1005056b5170a + СП_20270201_1daed84fc7b511f083a1005056b5170a + СП_20270301_1daed84fc7b511f083a1005056b5170a + СП_20270401_1daed84fc7b511f083a1005056b5170a + СП_20270501_1daed84fc7b511f083a1005056b5170a + СП_20270601_1daed84fc7b511f083a1005056b5170a + СП_20270701_1daed84fc7b511f083a1005056b5170a + СП_20270801_1daed84fc7b511f083a1005056b5170a + СП_20270901_1daed84fc7b511f083a1005056b5170a + СП_20271001_1daed84fc7b511f083a1005056b5170a + СП_20271101_1daed84fc7b511f083a1005056b5170a + СП_20271201_1daed84fc7b511f083a1005056b5170a</f>
        <v>0</v>
      </c>
    </row>
    <row r="46" spans="1:15" ht="15" customHeight="1" outlineLevel="3" x14ac:dyDescent="0.25">
      <c r="A46" s="3" t="s">
        <v>98</v>
      </c>
      <c r="B46" s="3" t="s">
        <v>99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4">
        <f>СП_20270101_445c2761c7b511f083a1005056b5170a + СП_20270201_445c2761c7b511f083a1005056b5170a + СП_20270301_445c2761c7b511f083a1005056b5170a + СП_20270401_445c2761c7b511f083a1005056b5170a + СП_20270501_445c2761c7b511f083a1005056b5170a + СП_20270601_445c2761c7b511f083a1005056b5170a + СП_20270701_445c2761c7b511f083a1005056b5170a + СП_20270801_445c2761c7b511f083a1005056b5170a + СП_20270901_445c2761c7b511f083a1005056b5170a + СП_20271001_445c2761c7b511f083a1005056b5170a + СП_20271101_445c2761c7b511f083a1005056b5170a + СП_20271201_445c2761c7b511f083a1005056b5170a</f>
        <v>0</v>
      </c>
    </row>
    <row r="47" spans="1:15" ht="15" customHeight="1" outlineLevel="3" x14ac:dyDescent="0.25">
      <c r="A47" s="3" t="s">
        <v>100</v>
      </c>
      <c r="B47" s="3" t="s">
        <v>101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4">
        <f>СП_20270101_c7add6d36a4811e4805ad4ae526f013e + СП_20270201_c7add6d36a4811e4805ad4ae526f013e + СП_20270301_c7add6d36a4811e4805ad4ae526f013e + СП_20270401_c7add6d36a4811e4805ad4ae526f013e + СП_20270501_c7add6d36a4811e4805ad4ae526f013e + СП_20270601_c7add6d36a4811e4805ad4ae526f013e + СП_20270701_c7add6d36a4811e4805ad4ae526f013e + СП_20270801_c7add6d36a4811e4805ad4ae526f013e + СП_20270901_c7add6d36a4811e4805ad4ae526f013e + СП_20271001_c7add6d36a4811e4805ad4ae526f013e + СП_20271101_c7add6d36a4811e4805ad4ae526f013e + СП_20271201_c7add6d36a4811e4805ad4ae526f013e</f>
        <v>0</v>
      </c>
    </row>
    <row r="48" spans="1:15" ht="15" customHeight="1" outlineLevel="3" x14ac:dyDescent="0.25">
      <c r="A48" s="3" t="s">
        <v>102</v>
      </c>
      <c r="B48" s="3" t="s">
        <v>103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4">
        <f>СП_20270101_c7add6d26a4811e4805ad4ae526f013e + СП_20270201_c7add6d26a4811e4805ad4ae526f013e + СП_20270301_c7add6d26a4811e4805ad4ae526f013e + СП_20270401_c7add6d26a4811e4805ad4ae526f013e + СП_20270501_c7add6d26a4811e4805ad4ae526f013e + СП_20270601_c7add6d26a4811e4805ad4ae526f013e + СП_20270701_c7add6d26a4811e4805ad4ae526f013e + СП_20270801_c7add6d26a4811e4805ad4ae526f013e + СП_20270901_c7add6d26a4811e4805ad4ae526f013e + СП_20271001_c7add6d26a4811e4805ad4ae526f013e + СП_20271101_c7add6d26a4811e4805ad4ae526f013e + СП_20271201_c7add6d26a4811e4805ad4ae526f013e</f>
        <v>0</v>
      </c>
    </row>
    <row r="49" spans="1:15" ht="15" customHeight="1" outlineLevel="3" x14ac:dyDescent="0.25">
      <c r="A49" s="3" t="s">
        <v>104</v>
      </c>
      <c r="B49" s="3" t="s">
        <v>105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4">
        <f>СП_20270101_5b33182ac7b611f083a1005056b5170a + СП_20270201_5b33182ac7b611f083a1005056b5170a + СП_20270301_5b33182ac7b611f083a1005056b5170a + СП_20270401_5b33182ac7b611f083a1005056b5170a + СП_20270501_5b33182ac7b611f083a1005056b5170a + СП_20270601_5b33182ac7b611f083a1005056b5170a + СП_20270701_5b33182ac7b611f083a1005056b5170a + СП_20270801_5b33182ac7b611f083a1005056b5170a + СП_20270901_5b33182ac7b611f083a1005056b5170a + СП_20271001_5b33182ac7b611f083a1005056b5170a + СП_20271101_5b33182ac7b611f083a1005056b5170a + СП_20271201_5b33182ac7b611f083a1005056b5170a</f>
        <v>0</v>
      </c>
    </row>
    <row r="50" spans="1:15" ht="15" customHeight="1" outlineLevel="3" x14ac:dyDescent="0.25">
      <c r="A50" s="3" t="s">
        <v>106</v>
      </c>
      <c r="B50" s="3" t="s">
        <v>107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4">
        <f>СП_20270101_c7add7056a4811e4805ad4ae526f013e + СП_20270201_c7add7056a4811e4805ad4ae526f013e + СП_20270301_c7add7056a4811e4805ad4ae526f013e + СП_20270401_c7add7056a4811e4805ad4ae526f013e + СП_20270501_c7add7056a4811e4805ad4ae526f013e + СП_20270601_c7add7056a4811e4805ad4ae526f013e + СП_20270701_c7add7056a4811e4805ad4ae526f013e + СП_20270801_c7add7056a4811e4805ad4ae526f013e + СП_20270901_c7add7056a4811e4805ad4ae526f013e + СП_20271001_c7add7056a4811e4805ad4ae526f013e + СП_20271101_c7add7056a4811e4805ad4ae526f013e + СП_20271201_c7add7056a4811e4805ad4ae526f013e</f>
        <v>0</v>
      </c>
    </row>
    <row r="51" spans="1:15" ht="15" customHeight="1" outlineLevel="3" x14ac:dyDescent="0.25">
      <c r="A51" s="3" t="s">
        <v>108</v>
      </c>
      <c r="B51" s="3" t="s">
        <v>109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4">
        <f>СП_20270101_c7add7266a4811e4805ad4ae526f013e + СП_20270201_c7add7266a4811e4805ad4ae526f013e + СП_20270301_c7add7266a4811e4805ad4ae526f013e + СП_20270401_c7add7266a4811e4805ad4ae526f013e + СП_20270501_c7add7266a4811e4805ad4ae526f013e + СП_20270601_c7add7266a4811e4805ad4ae526f013e + СП_20270701_c7add7266a4811e4805ad4ae526f013e + СП_20270801_c7add7266a4811e4805ad4ae526f013e + СП_20270901_c7add7266a4811e4805ad4ae526f013e + СП_20271001_c7add7266a4811e4805ad4ae526f013e + СП_20271101_c7add7266a4811e4805ad4ae526f013e + СП_20271201_c7add7266a4811e4805ad4ae526f013e</f>
        <v>0</v>
      </c>
    </row>
    <row r="52" spans="1:15" ht="15" customHeight="1" outlineLevel="3" x14ac:dyDescent="0.25">
      <c r="A52" s="3" t="s">
        <v>110</v>
      </c>
      <c r="B52" s="3" t="s">
        <v>111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4">
        <f>СП_20270101_c7add7046a4811e4805ad4ae526f013e + СП_20270201_c7add7046a4811e4805ad4ae526f013e + СП_20270301_c7add7046a4811e4805ad4ae526f013e + СП_20270401_c7add7046a4811e4805ad4ae526f013e + СП_20270501_c7add7046a4811e4805ad4ae526f013e + СП_20270601_c7add7046a4811e4805ad4ae526f013e + СП_20270701_c7add7046a4811e4805ad4ae526f013e + СП_20270801_c7add7046a4811e4805ad4ae526f013e + СП_20270901_c7add7046a4811e4805ad4ae526f013e + СП_20271001_c7add7046a4811e4805ad4ae526f013e + СП_20271101_c7add7046a4811e4805ad4ae526f013e + СП_20271201_c7add7046a4811e4805ad4ae526f013e</f>
        <v>0</v>
      </c>
    </row>
    <row r="53" spans="1:15" ht="15" customHeight="1" outlineLevel="3" x14ac:dyDescent="0.25">
      <c r="A53" s="3" t="s">
        <v>112</v>
      </c>
      <c r="B53" s="3" t="s">
        <v>113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4">
        <f>СП_20270101_c7add7066a4811e4805ad4ae526f013e + СП_20270201_c7add7066a4811e4805ad4ae526f013e + СП_20270301_c7add7066a4811e4805ad4ae526f013e + СП_20270401_c7add7066a4811e4805ad4ae526f013e + СП_20270501_c7add7066a4811e4805ad4ae526f013e + СП_20270601_c7add7066a4811e4805ad4ae526f013e + СП_20270701_c7add7066a4811e4805ad4ae526f013e + СП_20270801_c7add7066a4811e4805ad4ae526f013e + СП_20270901_c7add7066a4811e4805ad4ae526f013e + СП_20271001_c7add7066a4811e4805ad4ae526f013e + СП_20271101_c7add7066a4811e4805ad4ae526f013e + СП_20271201_c7add7066a4811e4805ad4ae526f013e</f>
        <v>0</v>
      </c>
    </row>
    <row r="54" spans="1:15" ht="15" customHeight="1" outlineLevel="3" x14ac:dyDescent="0.25">
      <c r="A54" s="3" t="s">
        <v>114</v>
      </c>
      <c r="B54" s="3" t="s">
        <v>115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4">
        <f>СП_20270101_c7add6cc6a4811e4805ad4ae526f013e + СП_20270201_c7add6cc6a4811e4805ad4ae526f013e + СП_20270301_c7add6cc6a4811e4805ad4ae526f013e + СП_20270401_c7add6cc6a4811e4805ad4ae526f013e + СП_20270501_c7add6cc6a4811e4805ad4ae526f013e + СП_20270601_c7add6cc6a4811e4805ad4ae526f013e + СП_20270701_c7add6cc6a4811e4805ad4ae526f013e + СП_20270801_c7add6cc6a4811e4805ad4ae526f013e + СП_20270901_c7add6cc6a4811e4805ad4ae526f013e + СП_20271001_c7add6cc6a4811e4805ad4ae526f013e + СП_20271101_c7add6cc6a4811e4805ad4ae526f013e + СП_20271201_c7add6cc6a4811e4805ad4ae526f013e</f>
        <v>0</v>
      </c>
    </row>
    <row r="55" spans="1:15" ht="15" customHeight="1" outlineLevel="3" x14ac:dyDescent="0.25">
      <c r="A55" s="3" t="s">
        <v>116</v>
      </c>
      <c r="B55" s="3" t="s">
        <v>117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4">
        <f>СП_20270101_477830aa94da11ee8376005056a1be4c + СП_20270201_477830aa94da11ee8376005056a1be4c + СП_20270301_477830aa94da11ee8376005056a1be4c + СП_20270401_477830aa94da11ee8376005056a1be4c + СП_20270501_477830aa94da11ee8376005056a1be4c + СП_20270601_477830aa94da11ee8376005056a1be4c + СП_20270701_477830aa94da11ee8376005056a1be4c + СП_20270801_477830aa94da11ee8376005056a1be4c + СП_20270901_477830aa94da11ee8376005056a1be4c + СП_20271001_477830aa94da11ee8376005056a1be4c + СП_20271101_477830aa94da11ee8376005056a1be4c + СП_20271201_477830aa94da11ee8376005056a1be4c</f>
        <v>0</v>
      </c>
    </row>
    <row r="56" spans="1:15" ht="15" customHeight="1" outlineLevel="3" x14ac:dyDescent="0.25">
      <c r="A56" s="3" t="s">
        <v>118</v>
      </c>
      <c r="B56" s="3" t="s">
        <v>119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4">
        <f>СП_20270101_6277513ac7b711f083a1005056b5170a + СП_20270201_6277513ac7b711f083a1005056b5170a + СП_20270301_6277513ac7b711f083a1005056b5170a + СП_20270401_6277513ac7b711f083a1005056b5170a + СП_20270501_6277513ac7b711f083a1005056b5170a + СП_20270601_6277513ac7b711f083a1005056b5170a + СП_20270701_6277513ac7b711f083a1005056b5170a + СП_20270801_6277513ac7b711f083a1005056b5170a + СП_20270901_6277513ac7b711f083a1005056b5170a + СП_20271001_6277513ac7b711f083a1005056b5170a + СП_20271101_6277513ac7b711f083a1005056b5170a + СП_20271201_6277513ac7b711f083a1005056b5170a</f>
        <v>0</v>
      </c>
    </row>
    <row r="57" spans="1:15" ht="15" customHeight="1" outlineLevel="3" x14ac:dyDescent="0.25">
      <c r="A57" s="3" t="s">
        <v>120</v>
      </c>
      <c r="B57" s="3" t="s">
        <v>121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4">
        <f>СП_20270101_34aab0c2990f11ef8384005056b5170a + СП_20270201_34aab0c2990f11ef8384005056b5170a + СП_20270301_34aab0c2990f11ef8384005056b5170a + СП_20270401_34aab0c2990f11ef8384005056b5170a + СП_20270501_34aab0c2990f11ef8384005056b5170a + СП_20270601_34aab0c2990f11ef8384005056b5170a + СП_20270701_34aab0c2990f11ef8384005056b5170a + СП_20270801_34aab0c2990f11ef8384005056b5170a + СП_20270901_34aab0c2990f11ef8384005056b5170a + СП_20271001_34aab0c2990f11ef8384005056b5170a + СП_20271101_34aab0c2990f11ef8384005056b5170a + СП_20271201_34aab0c2990f11ef8384005056b5170a</f>
        <v>0</v>
      </c>
    </row>
    <row r="58" spans="1:15" ht="15" customHeight="1" outlineLevel="2" x14ac:dyDescent="0.25">
      <c r="A58" s="3" t="s">
        <v>122</v>
      </c>
      <c r="B58" s="3" t="s">
        <v>123</v>
      </c>
      <c r="C58" s="4">
        <f>СП_20270101_e7dd9c1c94db11ee8376005056a1be4c + СП_20270101_ce12a12494db11ee8376005056a1be4c + СП_20270101_c7add7076a4811e4805ad4ae526f013e + СП_20270101_389f4057c7cb11f083a1005056b5170a</f>
        <v>0</v>
      </c>
      <c r="D58" s="4">
        <f>СП_20270201_e7dd9c1c94db11ee8376005056a1be4c + СП_20270201_ce12a12494db11ee8376005056a1be4c + СП_20270201_c7add7076a4811e4805ad4ae526f013e + СП_20270201_389f4057c7cb11f083a1005056b5170a</f>
        <v>0</v>
      </c>
      <c r="E58" s="4">
        <f>СП_20270301_e7dd9c1c94db11ee8376005056a1be4c + СП_20270301_ce12a12494db11ee8376005056a1be4c + СП_20270301_c7add7076a4811e4805ad4ae526f013e + СП_20270301_389f4057c7cb11f083a1005056b5170a</f>
        <v>0</v>
      </c>
      <c r="F58" s="4">
        <f>СП_20270401_e7dd9c1c94db11ee8376005056a1be4c + СП_20270401_ce12a12494db11ee8376005056a1be4c + СП_20270401_c7add7076a4811e4805ad4ae526f013e + СП_20270401_389f4057c7cb11f083a1005056b5170a</f>
        <v>0</v>
      </c>
      <c r="G58" s="4">
        <f>СП_20270501_e7dd9c1c94db11ee8376005056a1be4c + СП_20270501_ce12a12494db11ee8376005056a1be4c + СП_20270501_c7add7076a4811e4805ad4ae526f013e + СП_20270501_389f4057c7cb11f083a1005056b5170a</f>
        <v>0</v>
      </c>
      <c r="H58" s="4">
        <f>СП_20270601_e7dd9c1c94db11ee8376005056a1be4c + СП_20270601_ce12a12494db11ee8376005056a1be4c + СП_20270601_c7add7076a4811e4805ad4ae526f013e + СП_20270601_389f4057c7cb11f083a1005056b5170a</f>
        <v>0</v>
      </c>
      <c r="I58" s="4">
        <f>СП_20270701_e7dd9c1c94db11ee8376005056a1be4c + СП_20270701_ce12a12494db11ee8376005056a1be4c + СП_20270701_c7add7076a4811e4805ad4ae526f013e + СП_20270701_389f4057c7cb11f083a1005056b5170a</f>
        <v>0</v>
      </c>
      <c r="J58" s="4">
        <f>СП_20270801_e7dd9c1c94db11ee8376005056a1be4c + СП_20270801_ce12a12494db11ee8376005056a1be4c + СП_20270801_c7add7076a4811e4805ad4ae526f013e + СП_20270801_389f4057c7cb11f083a1005056b5170a</f>
        <v>0</v>
      </c>
      <c r="K58" s="4">
        <f>СП_20270901_e7dd9c1c94db11ee8376005056a1be4c + СП_20270901_ce12a12494db11ee8376005056a1be4c + СП_20270901_c7add7076a4811e4805ad4ae526f013e + СП_20270901_389f4057c7cb11f083a1005056b5170a</f>
        <v>0</v>
      </c>
      <c r="L58" s="4">
        <f>СП_20271001_e7dd9c1c94db11ee8376005056a1be4c + СП_20271001_ce12a12494db11ee8376005056a1be4c + СП_20271001_c7add7076a4811e4805ad4ae526f013e + СП_20271001_389f4057c7cb11f083a1005056b5170a</f>
        <v>0</v>
      </c>
      <c r="M58" s="4">
        <f>СП_20271101_e7dd9c1c94db11ee8376005056a1be4c + СП_20271101_ce12a12494db11ee8376005056a1be4c + СП_20271101_c7add7076a4811e4805ad4ae526f013e + СП_20271101_389f4057c7cb11f083a1005056b5170a</f>
        <v>0</v>
      </c>
      <c r="N58" s="4">
        <f>СП_20271201_e7dd9c1c94db11ee8376005056a1be4c + СП_20271201_ce12a12494db11ee8376005056a1be4c + СП_20271201_c7add7076a4811e4805ad4ae526f013e + СП_20271201_389f4057c7cb11f083a1005056b5170a</f>
        <v>0</v>
      </c>
      <c r="O58" s="4">
        <f>СП_Итог_e7dd9c1c94db11ee8376005056a1be4c + СП_Итог_ce12a12494db11ee8376005056a1be4c + СП_Итог_c7add7076a4811e4805ad4ae526f013e + СП_Итог_389f4057c7cb11f083a1005056b5170a</f>
        <v>0</v>
      </c>
    </row>
    <row r="59" spans="1:15" ht="15" customHeight="1" outlineLevel="3" x14ac:dyDescent="0.25">
      <c r="A59" s="3" t="s">
        <v>124</v>
      </c>
      <c r="B59" s="3" t="s">
        <v>125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4">
        <f>СП_20270101_e7dd9c1c94db11ee8376005056a1be4c + СП_20270201_e7dd9c1c94db11ee8376005056a1be4c + СП_20270301_e7dd9c1c94db11ee8376005056a1be4c + СП_20270401_e7dd9c1c94db11ee8376005056a1be4c + СП_20270501_e7dd9c1c94db11ee8376005056a1be4c + СП_20270601_e7dd9c1c94db11ee8376005056a1be4c + СП_20270701_e7dd9c1c94db11ee8376005056a1be4c + СП_20270801_e7dd9c1c94db11ee8376005056a1be4c + СП_20270901_e7dd9c1c94db11ee8376005056a1be4c + СП_20271001_e7dd9c1c94db11ee8376005056a1be4c + СП_20271101_e7dd9c1c94db11ee8376005056a1be4c + СП_20271201_e7dd9c1c94db11ee8376005056a1be4c</f>
        <v>0</v>
      </c>
    </row>
    <row r="60" spans="1:15" ht="15" customHeight="1" outlineLevel="3" x14ac:dyDescent="0.25">
      <c r="A60" s="3" t="s">
        <v>126</v>
      </c>
      <c r="B60" s="3" t="s">
        <v>127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4">
        <f>СП_20270101_ce12a12494db11ee8376005056a1be4c + СП_20270201_ce12a12494db11ee8376005056a1be4c + СП_20270301_ce12a12494db11ee8376005056a1be4c + СП_20270401_ce12a12494db11ee8376005056a1be4c + СП_20270501_ce12a12494db11ee8376005056a1be4c + СП_20270601_ce12a12494db11ee8376005056a1be4c + СП_20270701_ce12a12494db11ee8376005056a1be4c + СП_20270801_ce12a12494db11ee8376005056a1be4c + СП_20270901_ce12a12494db11ee8376005056a1be4c + СП_20271001_ce12a12494db11ee8376005056a1be4c + СП_20271101_ce12a12494db11ee8376005056a1be4c + СП_20271201_ce12a12494db11ee8376005056a1be4c</f>
        <v>0</v>
      </c>
    </row>
    <row r="61" spans="1:15" ht="15" customHeight="1" outlineLevel="3" x14ac:dyDescent="0.25">
      <c r="A61" s="3" t="s">
        <v>128</v>
      </c>
      <c r="B61" s="3" t="s">
        <v>129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4">
        <f>СП_20270101_c7add7076a4811e4805ad4ae526f013e + СП_20270201_c7add7076a4811e4805ad4ae526f013e + СП_20270301_c7add7076a4811e4805ad4ae526f013e + СП_20270401_c7add7076a4811e4805ad4ae526f013e + СП_20270501_c7add7076a4811e4805ad4ae526f013e + СП_20270601_c7add7076a4811e4805ad4ae526f013e + СП_20270701_c7add7076a4811e4805ad4ae526f013e + СП_20270801_c7add7076a4811e4805ad4ae526f013e + СП_20270901_c7add7076a4811e4805ad4ae526f013e + СП_20271001_c7add7076a4811e4805ad4ae526f013e + СП_20271101_c7add7076a4811e4805ad4ae526f013e + СП_20271201_c7add7076a4811e4805ad4ae526f013e</f>
        <v>0</v>
      </c>
    </row>
    <row r="62" spans="1:15" ht="15" customHeight="1" outlineLevel="3" x14ac:dyDescent="0.25">
      <c r="A62" s="3" t="s">
        <v>130</v>
      </c>
      <c r="B62" s="3" t="s">
        <v>131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4">
        <f>СП_20270101_389f4057c7cb11f083a1005056b5170a + СП_20270201_389f4057c7cb11f083a1005056b5170a + СП_20270301_389f4057c7cb11f083a1005056b5170a + СП_20270401_389f4057c7cb11f083a1005056b5170a + СП_20270501_389f4057c7cb11f083a1005056b5170a + СП_20270601_389f4057c7cb11f083a1005056b5170a + СП_20270701_389f4057c7cb11f083a1005056b5170a + СП_20270801_389f4057c7cb11f083a1005056b5170a + СП_20270901_389f4057c7cb11f083a1005056b5170a + СП_20271001_389f4057c7cb11f083a1005056b5170a + СП_20271101_389f4057c7cb11f083a1005056b5170a + СП_20271201_389f4057c7cb11f083a1005056b5170a</f>
        <v>0</v>
      </c>
    </row>
    <row r="63" spans="1:15" ht="15" customHeight="1" outlineLevel="2" x14ac:dyDescent="0.25">
      <c r="A63" s="3" t="s">
        <v>132</v>
      </c>
      <c r="B63" s="3" t="s">
        <v>133</v>
      </c>
      <c r="C63" s="4">
        <f>СП_20270101_ab1ef3c9c7cc11f083a1005056b5170a + СП_20270101_be8eb25fc7cc11f083a1005056b5170a + СП_20270101_ccbf0ec5c7cc11f083a1005056b5170a + СП_20270101_e0d93d37c7cc11f083a1005056b5170a + СП_20270101_eda9216ec7cc11f083a1005056b5170a + СП_20270101_fc80b55ac7cc11f083a1005056b5170a + СП_20270101_d56e8e951d4911f183c7005056b5170a</f>
        <v>0</v>
      </c>
      <c r="D63" s="4">
        <f>СП_20270201_ab1ef3c9c7cc11f083a1005056b5170a + СП_20270201_be8eb25fc7cc11f083a1005056b5170a + СП_20270201_ccbf0ec5c7cc11f083a1005056b5170a + СП_20270201_e0d93d37c7cc11f083a1005056b5170a + СП_20270201_eda9216ec7cc11f083a1005056b5170a + СП_20270201_fc80b55ac7cc11f083a1005056b5170a + СП_20270201_d56e8e951d4911f183c7005056b5170a</f>
        <v>0</v>
      </c>
      <c r="E63" s="4">
        <f>СП_20270301_ab1ef3c9c7cc11f083a1005056b5170a + СП_20270301_be8eb25fc7cc11f083a1005056b5170a + СП_20270301_ccbf0ec5c7cc11f083a1005056b5170a + СП_20270301_e0d93d37c7cc11f083a1005056b5170a + СП_20270301_eda9216ec7cc11f083a1005056b5170a + СП_20270301_fc80b55ac7cc11f083a1005056b5170a + СП_20270301_d56e8e951d4911f183c7005056b5170a</f>
        <v>0</v>
      </c>
      <c r="F63" s="4">
        <f>СП_20270401_ab1ef3c9c7cc11f083a1005056b5170a + СП_20270401_be8eb25fc7cc11f083a1005056b5170a + СП_20270401_ccbf0ec5c7cc11f083a1005056b5170a + СП_20270401_e0d93d37c7cc11f083a1005056b5170a + СП_20270401_eda9216ec7cc11f083a1005056b5170a + СП_20270401_fc80b55ac7cc11f083a1005056b5170a + СП_20270401_d56e8e951d4911f183c7005056b5170a</f>
        <v>0</v>
      </c>
      <c r="G63" s="4">
        <f>СП_20270501_ab1ef3c9c7cc11f083a1005056b5170a + СП_20270501_be8eb25fc7cc11f083a1005056b5170a + СП_20270501_ccbf0ec5c7cc11f083a1005056b5170a + СП_20270501_e0d93d37c7cc11f083a1005056b5170a + СП_20270501_eda9216ec7cc11f083a1005056b5170a + СП_20270501_fc80b55ac7cc11f083a1005056b5170a + СП_20270501_d56e8e951d4911f183c7005056b5170a</f>
        <v>0</v>
      </c>
      <c r="H63" s="4">
        <f>СП_20270601_ab1ef3c9c7cc11f083a1005056b5170a + СП_20270601_be8eb25fc7cc11f083a1005056b5170a + СП_20270601_ccbf0ec5c7cc11f083a1005056b5170a + СП_20270601_e0d93d37c7cc11f083a1005056b5170a + СП_20270601_eda9216ec7cc11f083a1005056b5170a + СП_20270601_fc80b55ac7cc11f083a1005056b5170a + СП_20270601_d56e8e951d4911f183c7005056b5170a</f>
        <v>0</v>
      </c>
      <c r="I63" s="4">
        <f>СП_20270701_ab1ef3c9c7cc11f083a1005056b5170a + СП_20270701_be8eb25fc7cc11f083a1005056b5170a + СП_20270701_ccbf0ec5c7cc11f083a1005056b5170a + СП_20270701_e0d93d37c7cc11f083a1005056b5170a + СП_20270701_eda9216ec7cc11f083a1005056b5170a + СП_20270701_fc80b55ac7cc11f083a1005056b5170a + СП_20270701_d56e8e951d4911f183c7005056b5170a</f>
        <v>0</v>
      </c>
      <c r="J63" s="4">
        <f>СП_20270801_ab1ef3c9c7cc11f083a1005056b5170a + СП_20270801_be8eb25fc7cc11f083a1005056b5170a + СП_20270801_ccbf0ec5c7cc11f083a1005056b5170a + СП_20270801_e0d93d37c7cc11f083a1005056b5170a + СП_20270801_eda9216ec7cc11f083a1005056b5170a + СП_20270801_fc80b55ac7cc11f083a1005056b5170a + СП_20270801_d56e8e951d4911f183c7005056b5170a</f>
        <v>0</v>
      </c>
      <c r="K63" s="4">
        <f>СП_20270901_ab1ef3c9c7cc11f083a1005056b5170a + СП_20270901_be8eb25fc7cc11f083a1005056b5170a + СП_20270901_ccbf0ec5c7cc11f083a1005056b5170a + СП_20270901_e0d93d37c7cc11f083a1005056b5170a + СП_20270901_eda9216ec7cc11f083a1005056b5170a + СП_20270901_fc80b55ac7cc11f083a1005056b5170a + СП_20270901_d56e8e951d4911f183c7005056b5170a</f>
        <v>0</v>
      </c>
      <c r="L63" s="4">
        <f>СП_20271001_ab1ef3c9c7cc11f083a1005056b5170a + СП_20271001_be8eb25fc7cc11f083a1005056b5170a + СП_20271001_ccbf0ec5c7cc11f083a1005056b5170a + СП_20271001_e0d93d37c7cc11f083a1005056b5170a + СП_20271001_eda9216ec7cc11f083a1005056b5170a + СП_20271001_fc80b55ac7cc11f083a1005056b5170a + СП_20271001_d56e8e951d4911f183c7005056b5170a</f>
        <v>0</v>
      </c>
      <c r="M63" s="4">
        <f>СП_20271101_ab1ef3c9c7cc11f083a1005056b5170a + СП_20271101_be8eb25fc7cc11f083a1005056b5170a + СП_20271101_ccbf0ec5c7cc11f083a1005056b5170a + СП_20271101_e0d93d37c7cc11f083a1005056b5170a + СП_20271101_eda9216ec7cc11f083a1005056b5170a + СП_20271101_fc80b55ac7cc11f083a1005056b5170a + СП_20271101_d56e8e951d4911f183c7005056b5170a</f>
        <v>0</v>
      </c>
      <c r="N63" s="4">
        <f>СП_20271201_ab1ef3c9c7cc11f083a1005056b5170a + СП_20271201_be8eb25fc7cc11f083a1005056b5170a + СП_20271201_ccbf0ec5c7cc11f083a1005056b5170a + СП_20271201_e0d93d37c7cc11f083a1005056b5170a + СП_20271201_eda9216ec7cc11f083a1005056b5170a + СП_20271201_fc80b55ac7cc11f083a1005056b5170a + СП_20271201_d56e8e951d4911f183c7005056b5170a</f>
        <v>0</v>
      </c>
      <c r="O63" s="4">
        <f>СП_Итог_ab1ef3c9c7cc11f083a1005056b5170a + СП_Итог_be8eb25fc7cc11f083a1005056b5170a + СП_Итог_ccbf0ec5c7cc11f083a1005056b5170a + СП_Итог_e0d93d37c7cc11f083a1005056b5170a + СП_Итог_eda9216ec7cc11f083a1005056b5170a + СП_Итог_fc80b55ac7cc11f083a1005056b5170a + СП_Итог_d56e8e951d4911f183c7005056b5170a</f>
        <v>0</v>
      </c>
    </row>
    <row r="64" spans="1:15" ht="15" customHeight="1" outlineLevel="3" x14ac:dyDescent="0.25">
      <c r="A64" s="3" t="s">
        <v>134</v>
      </c>
      <c r="B64" s="3" t="s">
        <v>135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4">
        <f>СП_20270101_ab1ef3c9c7cc11f083a1005056b5170a + СП_20270201_ab1ef3c9c7cc11f083a1005056b5170a + СП_20270301_ab1ef3c9c7cc11f083a1005056b5170a + СП_20270401_ab1ef3c9c7cc11f083a1005056b5170a + СП_20270501_ab1ef3c9c7cc11f083a1005056b5170a + СП_20270601_ab1ef3c9c7cc11f083a1005056b5170a + СП_20270701_ab1ef3c9c7cc11f083a1005056b5170a + СП_20270801_ab1ef3c9c7cc11f083a1005056b5170a + СП_20270901_ab1ef3c9c7cc11f083a1005056b5170a + СП_20271001_ab1ef3c9c7cc11f083a1005056b5170a + СП_20271101_ab1ef3c9c7cc11f083a1005056b5170a + СП_20271201_ab1ef3c9c7cc11f083a1005056b5170a</f>
        <v>0</v>
      </c>
    </row>
    <row r="65" spans="1:15" ht="15" customHeight="1" outlineLevel="3" x14ac:dyDescent="0.25">
      <c r="A65" s="3" t="s">
        <v>136</v>
      </c>
      <c r="B65" s="3" t="s">
        <v>137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4">
        <f>СП_20270101_be8eb25fc7cc11f083a1005056b5170a + СП_20270201_be8eb25fc7cc11f083a1005056b5170a + СП_20270301_be8eb25fc7cc11f083a1005056b5170a + СП_20270401_be8eb25fc7cc11f083a1005056b5170a + СП_20270501_be8eb25fc7cc11f083a1005056b5170a + СП_20270601_be8eb25fc7cc11f083a1005056b5170a + СП_20270701_be8eb25fc7cc11f083a1005056b5170a + СП_20270801_be8eb25fc7cc11f083a1005056b5170a + СП_20270901_be8eb25fc7cc11f083a1005056b5170a + СП_20271001_be8eb25fc7cc11f083a1005056b5170a + СП_20271101_be8eb25fc7cc11f083a1005056b5170a + СП_20271201_be8eb25fc7cc11f083a1005056b5170a</f>
        <v>0</v>
      </c>
    </row>
    <row r="66" spans="1:15" ht="15" customHeight="1" outlineLevel="3" x14ac:dyDescent="0.25">
      <c r="A66" s="3" t="s">
        <v>138</v>
      </c>
      <c r="B66" s="3" t="s">
        <v>139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4">
        <f>СП_20270101_ccbf0ec5c7cc11f083a1005056b5170a + СП_20270201_ccbf0ec5c7cc11f083a1005056b5170a + СП_20270301_ccbf0ec5c7cc11f083a1005056b5170a + СП_20270401_ccbf0ec5c7cc11f083a1005056b5170a + СП_20270501_ccbf0ec5c7cc11f083a1005056b5170a + СП_20270601_ccbf0ec5c7cc11f083a1005056b5170a + СП_20270701_ccbf0ec5c7cc11f083a1005056b5170a + СП_20270801_ccbf0ec5c7cc11f083a1005056b5170a + СП_20270901_ccbf0ec5c7cc11f083a1005056b5170a + СП_20271001_ccbf0ec5c7cc11f083a1005056b5170a + СП_20271101_ccbf0ec5c7cc11f083a1005056b5170a + СП_20271201_ccbf0ec5c7cc11f083a1005056b5170a</f>
        <v>0</v>
      </c>
    </row>
    <row r="67" spans="1:15" ht="15" customHeight="1" outlineLevel="3" x14ac:dyDescent="0.25">
      <c r="A67" s="3" t="s">
        <v>140</v>
      </c>
      <c r="B67" s="3" t="s">
        <v>141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4">
        <f>СП_20270101_e0d93d37c7cc11f083a1005056b5170a + СП_20270201_e0d93d37c7cc11f083a1005056b5170a + СП_20270301_e0d93d37c7cc11f083a1005056b5170a + СП_20270401_e0d93d37c7cc11f083a1005056b5170a + СП_20270501_e0d93d37c7cc11f083a1005056b5170a + СП_20270601_e0d93d37c7cc11f083a1005056b5170a + СП_20270701_e0d93d37c7cc11f083a1005056b5170a + СП_20270801_e0d93d37c7cc11f083a1005056b5170a + СП_20270901_e0d93d37c7cc11f083a1005056b5170a + СП_20271001_e0d93d37c7cc11f083a1005056b5170a + СП_20271101_e0d93d37c7cc11f083a1005056b5170a + СП_20271201_e0d93d37c7cc11f083a1005056b5170a</f>
        <v>0</v>
      </c>
    </row>
    <row r="68" spans="1:15" ht="15" customHeight="1" outlineLevel="3" x14ac:dyDescent="0.25">
      <c r="A68" s="3" t="s">
        <v>142</v>
      </c>
      <c r="B68" s="3" t="s">
        <v>143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4">
        <f>СП_20270101_eda9216ec7cc11f083a1005056b5170a + СП_20270201_eda9216ec7cc11f083a1005056b5170a + СП_20270301_eda9216ec7cc11f083a1005056b5170a + СП_20270401_eda9216ec7cc11f083a1005056b5170a + СП_20270501_eda9216ec7cc11f083a1005056b5170a + СП_20270601_eda9216ec7cc11f083a1005056b5170a + СП_20270701_eda9216ec7cc11f083a1005056b5170a + СП_20270801_eda9216ec7cc11f083a1005056b5170a + СП_20270901_eda9216ec7cc11f083a1005056b5170a + СП_20271001_eda9216ec7cc11f083a1005056b5170a + СП_20271101_eda9216ec7cc11f083a1005056b5170a + СП_20271201_eda9216ec7cc11f083a1005056b5170a</f>
        <v>0</v>
      </c>
    </row>
    <row r="69" spans="1:15" ht="15" customHeight="1" outlineLevel="3" x14ac:dyDescent="0.25">
      <c r="A69" s="3" t="s">
        <v>144</v>
      </c>
      <c r="B69" s="3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4">
        <f>СП_20270101_fc80b55ac7cc11f083a1005056b5170a + СП_20270201_fc80b55ac7cc11f083a1005056b5170a + СП_20270301_fc80b55ac7cc11f083a1005056b5170a + СП_20270401_fc80b55ac7cc11f083a1005056b5170a + СП_20270501_fc80b55ac7cc11f083a1005056b5170a + СП_20270601_fc80b55ac7cc11f083a1005056b5170a + СП_20270701_fc80b55ac7cc11f083a1005056b5170a + СП_20270801_fc80b55ac7cc11f083a1005056b5170a + СП_20270901_fc80b55ac7cc11f083a1005056b5170a + СП_20271001_fc80b55ac7cc11f083a1005056b5170a + СП_20271101_fc80b55ac7cc11f083a1005056b5170a + СП_20271201_fc80b55ac7cc11f083a1005056b5170a</f>
        <v>0</v>
      </c>
    </row>
    <row r="70" spans="1:15" ht="15" customHeight="1" outlineLevel="3" x14ac:dyDescent="0.25">
      <c r="A70" s="3" t="s">
        <v>146</v>
      </c>
      <c r="B70" s="3" t="s">
        <v>147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4">
        <f>СП_20270101_d56e8e951d4911f183c7005056b5170a + СП_20270201_d56e8e951d4911f183c7005056b5170a + СП_20270301_d56e8e951d4911f183c7005056b5170a + СП_20270401_d56e8e951d4911f183c7005056b5170a + СП_20270501_d56e8e951d4911f183c7005056b5170a + СП_20270601_d56e8e951d4911f183c7005056b5170a + СП_20270701_d56e8e951d4911f183c7005056b5170a + СП_20270801_d56e8e951d4911f183c7005056b5170a + СП_20270901_d56e8e951d4911f183c7005056b5170a + СП_20271001_d56e8e951d4911f183c7005056b5170a + СП_20271101_d56e8e951d4911f183c7005056b5170a + СП_20271201_d56e8e951d4911f183c7005056b5170a</f>
        <v>0</v>
      </c>
    </row>
    <row r="71" spans="1:15" ht="15" customHeight="1" outlineLevel="2" x14ac:dyDescent="0.25">
      <c r="A71" s="3" t="s">
        <v>148</v>
      </c>
      <c r="B71" s="3" t="s">
        <v>149</v>
      </c>
      <c r="C71" s="4">
        <f>СП_20270101_dc23c215c7d511f083a1005056b5170a + СП_20270101_163680a8c7d611f083a1005056b5170a + СП_20270101_25fb3b91c7d611f083a1005056b5170a + СП_20270101_31632d0cc7d611f083a1005056b5170a + СП_20270101_3bd8087fc7d611f083a1005056b5170a + СП_20270101_c64e660926bd11f183c7005056b5170a + СП_20270101_49fa47b0c7d611f083a1005056b5170a + СП_20270101_55eb4f8fc7d611f083a1005056b5170a + СП_20270101_6dcdcaa9c7d611f083a1005056b5170a</f>
        <v>0</v>
      </c>
      <c r="D71" s="4">
        <f>СП_20270201_dc23c215c7d511f083a1005056b5170a + СП_20270201_163680a8c7d611f083a1005056b5170a + СП_20270201_25fb3b91c7d611f083a1005056b5170a + СП_20270201_31632d0cc7d611f083a1005056b5170a + СП_20270201_3bd8087fc7d611f083a1005056b5170a + СП_20270201_c64e660926bd11f183c7005056b5170a + СП_20270201_49fa47b0c7d611f083a1005056b5170a + СП_20270201_55eb4f8fc7d611f083a1005056b5170a + СП_20270201_6dcdcaa9c7d611f083a1005056b5170a</f>
        <v>0</v>
      </c>
      <c r="E71" s="4">
        <f>СП_20270301_dc23c215c7d511f083a1005056b5170a + СП_20270301_163680a8c7d611f083a1005056b5170a + СП_20270301_25fb3b91c7d611f083a1005056b5170a + СП_20270301_31632d0cc7d611f083a1005056b5170a + СП_20270301_3bd8087fc7d611f083a1005056b5170a + СП_20270301_c64e660926bd11f183c7005056b5170a + СП_20270301_49fa47b0c7d611f083a1005056b5170a + СП_20270301_55eb4f8fc7d611f083a1005056b5170a + СП_20270301_6dcdcaa9c7d611f083a1005056b5170a</f>
        <v>0</v>
      </c>
      <c r="F71" s="4">
        <f>СП_20270401_dc23c215c7d511f083a1005056b5170a + СП_20270401_163680a8c7d611f083a1005056b5170a + СП_20270401_25fb3b91c7d611f083a1005056b5170a + СП_20270401_31632d0cc7d611f083a1005056b5170a + СП_20270401_3bd8087fc7d611f083a1005056b5170a + СП_20270401_c64e660926bd11f183c7005056b5170a + СП_20270401_49fa47b0c7d611f083a1005056b5170a + СП_20270401_55eb4f8fc7d611f083a1005056b5170a + СП_20270401_6dcdcaa9c7d611f083a1005056b5170a</f>
        <v>0</v>
      </c>
      <c r="G71" s="4">
        <f>СП_20270501_dc23c215c7d511f083a1005056b5170a + СП_20270501_163680a8c7d611f083a1005056b5170a + СП_20270501_25fb3b91c7d611f083a1005056b5170a + СП_20270501_31632d0cc7d611f083a1005056b5170a + СП_20270501_3bd8087fc7d611f083a1005056b5170a + СП_20270501_c64e660926bd11f183c7005056b5170a + СП_20270501_49fa47b0c7d611f083a1005056b5170a + СП_20270501_55eb4f8fc7d611f083a1005056b5170a + СП_20270501_6dcdcaa9c7d611f083a1005056b5170a</f>
        <v>0</v>
      </c>
      <c r="H71" s="4">
        <f>СП_20270601_dc23c215c7d511f083a1005056b5170a + СП_20270601_163680a8c7d611f083a1005056b5170a + СП_20270601_25fb3b91c7d611f083a1005056b5170a + СП_20270601_31632d0cc7d611f083a1005056b5170a + СП_20270601_3bd8087fc7d611f083a1005056b5170a + СП_20270601_c64e660926bd11f183c7005056b5170a + СП_20270601_49fa47b0c7d611f083a1005056b5170a + СП_20270601_55eb4f8fc7d611f083a1005056b5170a + СП_20270601_6dcdcaa9c7d611f083a1005056b5170a</f>
        <v>0</v>
      </c>
      <c r="I71" s="4">
        <f>СП_20270701_dc23c215c7d511f083a1005056b5170a + СП_20270701_163680a8c7d611f083a1005056b5170a + СП_20270701_25fb3b91c7d611f083a1005056b5170a + СП_20270701_31632d0cc7d611f083a1005056b5170a + СП_20270701_3bd8087fc7d611f083a1005056b5170a + СП_20270701_c64e660926bd11f183c7005056b5170a + СП_20270701_49fa47b0c7d611f083a1005056b5170a + СП_20270701_55eb4f8fc7d611f083a1005056b5170a + СП_20270701_6dcdcaa9c7d611f083a1005056b5170a</f>
        <v>0</v>
      </c>
      <c r="J71" s="4">
        <f>СП_20270801_dc23c215c7d511f083a1005056b5170a + СП_20270801_163680a8c7d611f083a1005056b5170a + СП_20270801_25fb3b91c7d611f083a1005056b5170a + СП_20270801_31632d0cc7d611f083a1005056b5170a + СП_20270801_3bd8087fc7d611f083a1005056b5170a + СП_20270801_c64e660926bd11f183c7005056b5170a + СП_20270801_49fa47b0c7d611f083a1005056b5170a + СП_20270801_55eb4f8fc7d611f083a1005056b5170a + СП_20270801_6dcdcaa9c7d611f083a1005056b5170a</f>
        <v>0</v>
      </c>
      <c r="K71" s="4">
        <f>СП_20270901_dc23c215c7d511f083a1005056b5170a + СП_20270901_163680a8c7d611f083a1005056b5170a + СП_20270901_25fb3b91c7d611f083a1005056b5170a + СП_20270901_31632d0cc7d611f083a1005056b5170a + СП_20270901_3bd8087fc7d611f083a1005056b5170a + СП_20270901_c64e660926bd11f183c7005056b5170a + СП_20270901_49fa47b0c7d611f083a1005056b5170a + СП_20270901_55eb4f8fc7d611f083a1005056b5170a + СП_20270901_6dcdcaa9c7d611f083a1005056b5170a</f>
        <v>0</v>
      </c>
      <c r="L71" s="4">
        <f>СП_20271001_dc23c215c7d511f083a1005056b5170a + СП_20271001_163680a8c7d611f083a1005056b5170a + СП_20271001_25fb3b91c7d611f083a1005056b5170a + СП_20271001_31632d0cc7d611f083a1005056b5170a + СП_20271001_3bd8087fc7d611f083a1005056b5170a + СП_20271001_c64e660926bd11f183c7005056b5170a + СП_20271001_49fa47b0c7d611f083a1005056b5170a + СП_20271001_55eb4f8fc7d611f083a1005056b5170a + СП_20271001_6dcdcaa9c7d611f083a1005056b5170a</f>
        <v>0</v>
      </c>
      <c r="M71" s="4">
        <f>СП_20271101_dc23c215c7d511f083a1005056b5170a + СП_20271101_163680a8c7d611f083a1005056b5170a + СП_20271101_25fb3b91c7d611f083a1005056b5170a + СП_20271101_31632d0cc7d611f083a1005056b5170a + СП_20271101_3bd8087fc7d611f083a1005056b5170a + СП_20271101_c64e660926bd11f183c7005056b5170a + СП_20271101_49fa47b0c7d611f083a1005056b5170a + СП_20271101_55eb4f8fc7d611f083a1005056b5170a + СП_20271101_6dcdcaa9c7d611f083a1005056b5170a</f>
        <v>0</v>
      </c>
      <c r="N71" s="4">
        <f>СП_20271201_dc23c215c7d511f083a1005056b5170a + СП_20271201_163680a8c7d611f083a1005056b5170a + СП_20271201_25fb3b91c7d611f083a1005056b5170a + СП_20271201_31632d0cc7d611f083a1005056b5170a + СП_20271201_3bd8087fc7d611f083a1005056b5170a + СП_20271201_c64e660926bd11f183c7005056b5170a + СП_20271201_49fa47b0c7d611f083a1005056b5170a + СП_20271201_55eb4f8fc7d611f083a1005056b5170a + СП_20271201_6dcdcaa9c7d611f083a1005056b5170a</f>
        <v>0</v>
      </c>
      <c r="O71" s="4">
        <f>СП_Итог_dc23c215c7d511f083a1005056b5170a + СП_Итог_163680a8c7d611f083a1005056b5170a + СП_Итог_25fb3b91c7d611f083a1005056b5170a + СП_Итог_31632d0cc7d611f083a1005056b5170a + СП_Итог_3bd8087fc7d611f083a1005056b5170a + СП_Итог_c64e660926bd11f183c7005056b5170a + СП_Итог_49fa47b0c7d611f083a1005056b5170a + СП_Итог_55eb4f8fc7d611f083a1005056b5170a + СП_Итог_6dcdcaa9c7d611f083a1005056b5170a</f>
        <v>0</v>
      </c>
    </row>
    <row r="72" spans="1:15" ht="15" customHeight="1" outlineLevel="3" x14ac:dyDescent="0.25">
      <c r="A72" s="3" t="s">
        <v>150</v>
      </c>
      <c r="B72" s="3" t="s">
        <v>151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4">
        <f>СП_20270101_dc23c215c7d511f083a1005056b5170a + СП_20270201_dc23c215c7d511f083a1005056b5170a + СП_20270301_dc23c215c7d511f083a1005056b5170a + СП_20270401_dc23c215c7d511f083a1005056b5170a + СП_20270501_dc23c215c7d511f083a1005056b5170a + СП_20270601_dc23c215c7d511f083a1005056b5170a + СП_20270701_dc23c215c7d511f083a1005056b5170a + СП_20270801_dc23c215c7d511f083a1005056b5170a + СП_20270901_dc23c215c7d511f083a1005056b5170a + СП_20271001_dc23c215c7d511f083a1005056b5170a + СП_20271101_dc23c215c7d511f083a1005056b5170a + СП_20271201_dc23c215c7d511f083a1005056b5170a</f>
        <v>0</v>
      </c>
    </row>
    <row r="73" spans="1:15" ht="15" customHeight="1" outlineLevel="3" x14ac:dyDescent="0.25">
      <c r="A73" s="3" t="s">
        <v>152</v>
      </c>
      <c r="B73" s="3" t="s">
        <v>153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4">
        <f>СП_20270101_163680a8c7d611f083a1005056b5170a + СП_20270201_163680a8c7d611f083a1005056b5170a + СП_20270301_163680a8c7d611f083a1005056b5170a + СП_20270401_163680a8c7d611f083a1005056b5170a + СП_20270501_163680a8c7d611f083a1005056b5170a + СП_20270601_163680a8c7d611f083a1005056b5170a + СП_20270701_163680a8c7d611f083a1005056b5170a + СП_20270801_163680a8c7d611f083a1005056b5170a + СП_20270901_163680a8c7d611f083a1005056b5170a + СП_20271001_163680a8c7d611f083a1005056b5170a + СП_20271101_163680a8c7d611f083a1005056b5170a + СП_20271201_163680a8c7d611f083a1005056b5170a</f>
        <v>0</v>
      </c>
    </row>
    <row r="74" spans="1:15" ht="15" customHeight="1" outlineLevel="3" x14ac:dyDescent="0.25">
      <c r="A74" s="3" t="s">
        <v>154</v>
      </c>
      <c r="B74" s="3" t="s">
        <v>155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4">
        <f>СП_20270101_25fb3b91c7d611f083a1005056b5170a + СП_20270201_25fb3b91c7d611f083a1005056b5170a + СП_20270301_25fb3b91c7d611f083a1005056b5170a + СП_20270401_25fb3b91c7d611f083a1005056b5170a + СП_20270501_25fb3b91c7d611f083a1005056b5170a + СП_20270601_25fb3b91c7d611f083a1005056b5170a + СП_20270701_25fb3b91c7d611f083a1005056b5170a + СП_20270801_25fb3b91c7d611f083a1005056b5170a + СП_20270901_25fb3b91c7d611f083a1005056b5170a + СП_20271001_25fb3b91c7d611f083a1005056b5170a + СП_20271101_25fb3b91c7d611f083a1005056b5170a + СП_20271201_25fb3b91c7d611f083a1005056b5170a</f>
        <v>0</v>
      </c>
    </row>
    <row r="75" spans="1:15" ht="15" customHeight="1" outlineLevel="3" x14ac:dyDescent="0.25">
      <c r="A75" s="3" t="s">
        <v>156</v>
      </c>
      <c r="B75" s="3" t="s">
        <v>157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4">
        <f>СП_20270101_31632d0cc7d611f083a1005056b5170a + СП_20270201_31632d0cc7d611f083a1005056b5170a + СП_20270301_31632d0cc7d611f083a1005056b5170a + СП_20270401_31632d0cc7d611f083a1005056b5170a + СП_20270501_31632d0cc7d611f083a1005056b5170a + СП_20270601_31632d0cc7d611f083a1005056b5170a + СП_20270701_31632d0cc7d611f083a1005056b5170a + СП_20270801_31632d0cc7d611f083a1005056b5170a + СП_20270901_31632d0cc7d611f083a1005056b5170a + СП_20271001_31632d0cc7d611f083a1005056b5170a + СП_20271101_31632d0cc7d611f083a1005056b5170a + СП_20271201_31632d0cc7d611f083a1005056b5170a</f>
        <v>0</v>
      </c>
    </row>
    <row r="76" spans="1:15" ht="15" customHeight="1" outlineLevel="3" x14ac:dyDescent="0.25">
      <c r="A76" s="3" t="s">
        <v>158</v>
      </c>
      <c r="B76" s="3" t="s">
        <v>159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4">
        <f>СП_20270101_3bd8087fc7d611f083a1005056b5170a + СП_20270201_3bd8087fc7d611f083a1005056b5170a + СП_20270301_3bd8087fc7d611f083a1005056b5170a + СП_20270401_3bd8087fc7d611f083a1005056b5170a + СП_20270501_3bd8087fc7d611f083a1005056b5170a + СП_20270601_3bd8087fc7d611f083a1005056b5170a + СП_20270701_3bd8087fc7d611f083a1005056b5170a + СП_20270801_3bd8087fc7d611f083a1005056b5170a + СП_20270901_3bd8087fc7d611f083a1005056b5170a + СП_20271001_3bd8087fc7d611f083a1005056b5170a + СП_20271101_3bd8087fc7d611f083a1005056b5170a + СП_20271201_3bd8087fc7d611f083a1005056b5170a</f>
        <v>0</v>
      </c>
    </row>
    <row r="77" spans="1:15" ht="15" customHeight="1" outlineLevel="3" x14ac:dyDescent="0.25">
      <c r="A77" s="3" t="s">
        <v>160</v>
      </c>
      <c r="B77" s="3" t="s">
        <v>161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4">
        <f>СП_20270101_c64e660926bd11f183c7005056b5170a + СП_20270201_c64e660926bd11f183c7005056b5170a + СП_20270301_c64e660926bd11f183c7005056b5170a + СП_20270401_c64e660926bd11f183c7005056b5170a + СП_20270501_c64e660926bd11f183c7005056b5170a + СП_20270601_c64e660926bd11f183c7005056b5170a + СП_20270701_c64e660926bd11f183c7005056b5170a + СП_20270801_c64e660926bd11f183c7005056b5170a + СП_20270901_c64e660926bd11f183c7005056b5170a + СП_20271001_c64e660926bd11f183c7005056b5170a + СП_20271101_c64e660926bd11f183c7005056b5170a + СП_20271201_c64e660926bd11f183c7005056b5170a</f>
        <v>0</v>
      </c>
    </row>
    <row r="78" spans="1:15" ht="15" customHeight="1" outlineLevel="3" x14ac:dyDescent="0.25">
      <c r="A78" s="3" t="s">
        <v>162</v>
      </c>
      <c r="B78" s="3" t="s">
        <v>163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4">
        <f>СП_20270101_49fa47b0c7d611f083a1005056b5170a + СП_20270201_49fa47b0c7d611f083a1005056b5170a + СП_20270301_49fa47b0c7d611f083a1005056b5170a + СП_20270401_49fa47b0c7d611f083a1005056b5170a + СП_20270501_49fa47b0c7d611f083a1005056b5170a + СП_20270601_49fa47b0c7d611f083a1005056b5170a + СП_20270701_49fa47b0c7d611f083a1005056b5170a + СП_20270801_49fa47b0c7d611f083a1005056b5170a + СП_20270901_49fa47b0c7d611f083a1005056b5170a + СП_20271001_49fa47b0c7d611f083a1005056b5170a + СП_20271101_49fa47b0c7d611f083a1005056b5170a + СП_20271201_49fa47b0c7d611f083a1005056b5170a</f>
        <v>0</v>
      </c>
    </row>
    <row r="79" spans="1:15" ht="15" customHeight="1" outlineLevel="3" x14ac:dyDescent="0.25">
      <c r="A79" s="3" t="s">
        <v>164</v>
      </c>
      <c r="B79" s="3" t="s">
        <v>165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4">
        <f>СП_20270101_55eb4f8fc7d611f083a1005056b5170a + СП_20270201_55eb4f8fc7d611f083a1005056b5170a + СП_20270301_55eb4f8fc7d611f083a1005056b5170a + СП_20270401_55eb4f8fc7d611f083a1005056b5170a + СП_20270501_55eb4f8fc7d611f083a1005056b5170a + СП_20270601_55eb4f8fc7d611f083a1005056b5170a + СП_20270701_55eb4f8fc7d611f083a1005056b5170a + СП_20270801_55eb4f8fc7d611f083a1005056b5170a + СП_20270901_55eb4f8fc7d611f083a1005056b5170a + СП_20271001_55eb4f8fc7d611f083a1005056b5170a + СП_20271101_55eb4f8fc7d611f083a1005056b5170a + СП_20271201_55eb4f8fc7d611f083a1005056b5170a</f>
        <v>0</v>
      </c>
    </row>
    <row r="80" spans="1:15" ht="15" customHeight="1" outlineLevel="3" x14ac:dyDescent="0.25">
      <c r="A80" s="3" t="s">
        <v>166</v>
      </c>
      <c r="B80" s="3" t="s">
        <v>167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4">
        <f>СП_20270101_6dcdcaa9c7d611f083a1005056b5170a + СП_20270201_6dcdcaa9c7d611f083a1005056b5170a + СП_20270301_6dcdcaa9c7d611f083a1005056b5170a + СП_20270401_6dcdcaa9c7d611f083a1005056b5170a + СП_20270501_6dcdcaa9c7d611f083a1005056b5170a + СП_20270601_6dcdcaa9c7d611f083a1005056b5170a + СП_20270701_6dcdcaa9c7d611f083a1005056b5170a + СП_20270801_6dcdcaa9c7d611f083a1005056b5170a + СП_20270901_6dcdcaa9c7d611f083a1005056b5170a + СП_20271001_6dcdcaa9c7d611f083a1005056b5170a + СП_20271101_6dcdcaa9c7d611f083a1005056b5170a + СП_20271201_6dcdcaa9c7d611f083a1005056b5170a</f>
        <v>0</v>
      </c>
    </row>
    <row r="81" spans="1:15" ht="15" customHeight="1" outlineLevel="2" x14ac:dyDescent="0.25">
      <c r="A81" s="3" t="s">
        <v>168</v>
      </c>
      <c r="B81" s="3" t="s">
        <v>169</v>
      </c>
      <c r="C81" s="4">
        <f>СП_20270101_c0422569c7d611f083a1005056b5170a + СП_20270101_d1196183c7d611f083a1005056b5170a + СП_20270101_d9a415b3c7d611f083a1005056b5170a</f>
        <v>0</v>
      </c>
      <c r="D81" s="4">
        <f>СП_20270201_c0422569c7d611f083a1005056b5170a + СП_20270201_d1196183c7d611f083a1005056b5170a + СП_20270201_d9a415b3c7d611f083a1005056b5170a</f>
        <v>0</v>
      </c>
      <c r="E81" s="4">
        <f>СП_20270301_c0422569c7d611f083a1005056b5170a + СП_20270301_d1196183c7d611f083a1005056b5170a + СП_20270301_d9a415b3c7d611f083a1005056b5170a</f>
        <v>0</v>
      </c>
      <c r="F81" s="4">
        <f>СП_20270401_c0422569c7d611f083a1005056b5170a + СП_20270401_d1196183c7d611f083a1005056b5170a + СП_20270401_d9a415b3c7d611f083a1005056b5170a</f>
        <v>0</v>
      </c>
      <c r="G81" s="4">
        <f>СП_20270501_c0422569c7d611f083a1005056b5170a + СП_20270501_d1196183c7d611f083a1005056b5170a + СП_20270501_d9a415b3c7d611f083a1005056b5170a</f>
        <v>0</v>
      </c>
      <c r="H81" s="4">
        <f>СП_20270601_c0422569c7d611f083a1005056b5170a + СП_20270601_d1196183c7d611f083a1005056b5170a + СП_20270601_d9a415b3c7d611f083a1005056b5170a</f>
        <v>0</v>
      </c>
      <c r="I81" s="4">
        <f>СП_20270701_c0422569c7d611f083a1005056b5170a + СП_20270701_d1196183c7d611f083a1005056b5170a + СП_20270701_d9a415b3c7d611f083a1005056b5170a</f>
        <v>0</v>
      </c>
      <c r="J81" s="4">
        <f>СП_20270801_c0422569c7d611f083a1005056b5170a + СП_20270801_d1196183c7d611f083a1005056b5170a + СП_20270801_d9a415b3c7d611f083a1005056b5170a</f>
        <v>0</v>
      </c>
      <c r="K81" s="4">
        <f>СП_20270901_c0422569c7d611f083a1005056b5170a + СП_20270901_d1196183c7d611f083a1005056b5170a + СП_20270901_d9a415b3c7d611f083a1005056b5170a</f>
        <v>0</v>
      </c>
      <c r="L81" s="4">
        <f>СП_20271001_c0422569c7d611f083a1005056b5170a + СП_20271001_d1196183c7d611f083a1005056b5170a + СП_20271001_d9a415b3c7d611f083a1005056b5170a</f>
        <v>0</v>
      </c>
      <c r="M81" s="4">
        <f>СП_20271101_c0422569c7d611f083a1005056b5170a + СП_20271101_d1196183c7d611f083a1005056b5170a + СП_20271101_d9a415b3c7d611f083a1005056b5170a</f>
        <v>0</v>
      </c>
      <c r="N81" s="4">
        <f>СП_20271201_c0422569c7d611f083a1005056b5170a + СП_20271201_d1196183c7d611f083a1005056b5170a + СП_20271201_d9a415b3c7d611f083a1005056b5170a</f>
        <v>0</v>
      </c>
      <c r="O81" s="4">
        <f>СП_Итог_c0422569c7d611f083a1005056b5170a + СП_Итог_d1196183c7d611f083a1005056b5170a + СП_Итог_d9a415b3c7d611f083a1005056b5170a</f>
        <v>0</v>
      </c>
    </row>
    <row r="82" spans="1:15" ht="15" customHeight="1" outlineLevel="3" x14ac:dyDescent="0.25">
      <c r="A82" s="3" t="s">
        <v>170</v>
      </c>
      <c r="B82" s="3" t="s">
        <v>171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4">
        <f>СП_20270101_c0422569c7d611f083a1005056b5170a + СП_20270201_c0422569c7d611f083a1005056b5170a + СП_20270301_c0422569c7d611f083a1005056b5170a + СП_20270401_c0422569c7d611f083a1005056b5170a + СП_20270501_c0422569c7d611f083a1005056b5170a + СП_20270601_c0422569c7d611f083a1005056b5170a + СП_20270701_c0422569c7d611f083a1005056b5170a + СП_20270801_c0422569c7d611f083a1005056b5170a + СП_20270901_c0422569c7d611f083a1005056b5170a + СП_20271001_c0422569c7d611f083a1005056b5170a + СП_20271101_c0422569c7d611f083a1005056b5170a + СП_20271201_c0422569c7d611f083a1005056b5170a</f>
        <v>0</v>
      </c>
    </row>
    <row r="83" spans="1:15" ht="15" customHeight="1" outlineLevel="3" x14ac:dyDescent="0.25">
      <c r="A83" s="3" t="s">
        <v>172</v>
      </c>
      <c r="B83" s="3" t="s">
        <v>173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4">
        <f>СП_20270101_d1196183c7d611f083a1005056b5170a + СП_20270201_d1196183c7d611f083a1005056b5170a + СП_20270301_d1196183c7d611f083a1005056b5170a + СП_20270401_d1196183c7d611f083a1005056b5170a + СП_20270501_d1196183c7d611f083a1005056b5170a + СП_20270601_d1196183c7d611f083a1005056b5170a + СП_20270701_d1196183c7d611f083a1005056b5170a + СП_20270801_d1196183c7d611f083a1005056b5170a + СП_20270901_d1196183c7d611f083a1005056b5170a + СП_20271001_d1196183c7d611f083a1005056b5170a + СП_20271101_d1196183c7d611f083a1005056b5170a + СП_20271201_d1196183c7d611f083a1005056b5170a</f>
        <v>0</v>
      </c>
    </row>
    <row r="84" spans="1:15" ht="15" customHeight="1" outlineLevel="3" x14ac:dyDescent="0.25">
      <c r="A84" s="3" t="s">
        <v>174</v>
      </c>
      <c r="B84" s="3" t="s">
        <v>175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4">
        <f>СП_20270101_d9a415b3c7d611f083a1005056b5170a + СП_20270201_d9a415b3c7d611f083a1005056b5170a + СП_20270301_d9a415b3c7d611f083a1005056b5170a + СП_20270401_d9a415b3c7d611f083a1005056b5170a + СП_20270501_d9a415b3c7d611f083a1005056b5170a + СП_20270601_d9a415b3c7d611f083a1005056b5170a + СП_20270701_d9a415b3c7d611f083a1005056b5170a + СП_20270801_d9a415b3c7d611f083a1005056b5170a + СП_20270901_d9a415b3c7d611f083a1005056b5170a + СП_20271001_d9a415b3c7d611f083a1005056b5170a + СП_20271101_d9a415b3c7d611f083a1005056b5170a + СП_20271201_d9a415b3c7d611f083a1005056b5170a</f>
        <v>0</v>
      </c>
    </row>
    <row r="85" spans="1:15" ht="15" customHeight="1" outlineLevel="2" x14ac:dyDescent="0.25">
      <c r="A85" s="3" t="s">
        <v>176</v>
      </c>
      <c r="B85" s="3" t="s">
        <v>177</v>
      </c>
      <c r="C85" s="4">
        <f>СП_20270101_184a45cfc7d711f083a1005056b5170a + СП_20270101_28c78a1ec7d711f083a1005056b5170a + СП_20270101_355043d4c7d711f083a1005056b5170a + СП_20270101_46829e96c7d711f083a1005056b5170a</f>
        <v>0</v>
      </c>
      <c r="D85" s="4">
        <f>СП_20270201_184a45cfc7d711f083a1005056b5170a + СП_20270201_28c78a1ec7d711f083a1005056b5170a + СП_20270201_355043d4c7d711f083a1005056b5170a + СП_20270201_46829e96c7d711f083a1005056b5170a</f>
        <v>0</v>
      </c>
      <c r="E85" s="4">
        <f>СП_20270301_184a45cfc7d711f083a1005056b5170a + СП_20270301_28c78a1ec7d711f083a1005056b5170a + СП_20270301_355043d4c7d711f083a1005056b5170a + СП_20270301_46829e96c7d711f083a1005056b5170a</f>
        <v>0</v>
      </c>
      <c r="F85" s="4">
        <f>СП_20270401_184a45cfc7d711f083a1005056b5170a + СП_20270401_28c78a1ec7d711f083a1005056b5170a + СП_20270401_355043d4c7d711f083a1005056b5170a + СП_20270401_46829e96c7d711f083a1005056b5170a</f>
        <v>0</v>
      </c>
      <c r="G85" s="4">
        <f>СП_20270501_184a45cfc7d711f083a1005056b5170a + СП_20270501_28c78a1ec7d711f083a1005056b5170a + СП_20270501_355043d4c7d711f083a1005056b5170a + СП_20270501_46829e96c7d711f083a1005056b5170a</f>
        <v>0</v>
      </c>
      <c r="H85" s="4">
        <f>СП_20270601_184a45cfc7d711f083a1005056b5170a + СП_20270601_28c78a1ec7d711f083a1005056b5170a + СП_20270601_355043d4c7d711f083a1005056b5170a + СП_20270601_46829e96c7d711f083a1005056b5170a</f>
        <v>0</v>
      </c>
      <c r="I85" s="4">
        <f>СП_20270701_184a45cfc7d711f083a1005056b5170a + СП_20270701_28c78a1ec7d711f083a1005056b5170a + СП_20270701_355043d4c7d711f083a1005056b5170a + СП_20270701_46829e96c7d711f083a1005056b5170a</f>
        <v>0</v>
      </c>
      <c r="J85" s="4">
        <f>СП_20270801_184a45cfc7d711f083a1005056b5170a + СП_20270801_28c78a1ec7d711f083a1005056b5170a + СП_20270801_355043d4c7d711f083a1005056b5170a + СП_20270801_46829e96c7d711f083a1005056b5170a</f>
        <v>0</v>
      </c>
      <c r="K85" s="4">
        <f>СП_20270901_184a45cfc7d711f083a1005056b5170a + СП_20270901_28c78a1ec7d711f083a1005056b5170a + СП_20270901_355043d4c7d711f083a1005056b5170a + СП_20270901_46829e96c7d711f083a1005056b5170a</f>
        <v>0</v>
      </c>
      <c r="L85" s="4">
        <f>СП_20271001_184a45cfc7d711f083a1005056b5170a + СП_20271001_28c78a1ec7d711f083a1005056b5170a + СП_20271001_355043d4c7d711f083a1005056b5170a + СП_20271001_46829e96c7d711f083a1005056b5170a</f>
        <v>0</v>
      </c>
      <c r="M85" s="4">
        <f>СП_20271101_184a45cfc7d711f083a1005056b5170a + СП_20271101_28c78a1ec7d711f083a1005056b5170a + СП_20271101_355043d4c7d711f083a1005056b5170a + СП_20271101_46829e96c7d711f083a1005056b5170a</f>
        <v>0</v>
      </c>
      <c r="N85" s="4">
        <f>СП_20271201_184a45cfc7d711f083a1005056b5170a + СП_20271201_28c78a1ec7d711f083a1005056b5170a + СП_20271201_355043d4c7d711f083a1005056b5170a + СП_20271201_46829e96c7d711f083a1005056b5170a</f>
        <v>0</v>
      </c>
      <c r="O85" s="4">
        <f>СП_Итог_184a45cfc7d711f083a1005056b5170a + СП_Итог_28c78a1ec7d711f083a1005056b5170a + СП_Итог_355043d4c7d711f083a1005056b5170a + СП_Итог_46829e96c7d711f083a1005056b5170a</f>
        <v>0</v>
      </c>
    </row>
    <row r="86" spans="1:15" ht="15" customHeight="1" outlineLevel="3" x14ac:dyDescent="0.25">
      <c r="A86" s="3" t="s">
        <v>178</v>
      </c>
      <c r="B86" s="3" t="s">
        <v>179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4">
        <f>СП_20270101_184a45cfc7d711f083a1005056b5170a + СП_20270201_184a45cfc7d711f083a1005056b5170a + СП_20270301_184a45cfc7d711f083a1005056b5170a + СП_20270401_184a45cfc7d711f083a1005056b5170a + СП_20270501_184a45cfc7d711f083a1005056b5170a + СП_20270601_184a45cfc7d711f083a1005056b5170a + СП_20270701_184a45cfc7d711f083a1005056b5170a + СП_20270801_184a45cfc7d711f083a1005056b5170a + СП_20270901_184a45cfc7d711f083a1005056b5170a + СП_20271001_184a45cfc7d711f083a1005056b5170a + СП_20271101_184a45cfc7d711f083a1005056b5170a + СП_20271201_184a45cfc7d711f083a1005056b5170a</f>
        <v>0</v>
      </c>
    </row>
    <row r="87" spans="1:15" ht="15" customHeight="1" outlineLevel="3" x14ac:dyDescent="0.25">
      <c r="A87" s="3" t="s">
        <v>180</v>
      </c>
      <c r="B87" s="3" t="s">
        <v>181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4">
        <f>СП_20270101_28c78a1ec7d711f083a1005056b5170a + СП_20270201_28c78a1ec7d711f083a1005056b5170a + СП_20270301_28c78a1ec7d711f083a1005056b5170a + СП_20270401_28c78a1ec7d711f083a1005056b5170a + СП_20270501_28c78a1ec7d711f083a1005056b5170a + СП_20270601_28c78a1ec7d711f083a1005056b5170a + СП_20270701_28c78a1ec7d711f083a1005056b5170a + СП_20270801_28c78a1ec7d711f083a1005056b5170a + СП_20270901_28c78a1ec7d711f083a1005056b5170a + СП_20271001_28c78a1ec7d711f083a1005056b5170a + СП_20271101_28c78a1ec7d711f083a1005056b5170a + СП_20271201_28c78a1ec7d711f083a1005056b5170a</f>
        <v>0</v>
      </c>
    </row>
    <row r="88" spans="1:15" ht="15" customHeight="1" outlineLevel="3" x14ac:dyDescent="0.25">
      <c r="A88" s="3" t="s">
        <v>182</v>
      </c>
      <c r="B88" s="3" t="s">
        <v>183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4">
        <f>СП_20270101_355043d4c7d711f083a1005056b5170a + СП_20270201_355043d4c7d711f083a1005056b5170a + СП_20270301_355043d4c7d711f083a1005056b5170a + СП_20270401_355043d4c7d711f083a1005056b5170a + СП_20270501_355043d4c7d711f083a1005056b5170a + СП_20270601_355043d4c7d711f083a1005056b5170a + СП_20270701_355043d4c7d711f083a1005056b5170a + СП_20270801_355043d4c7d711f083a1005056b5170a + СП_20270901_355043d4c7d711f083a1005056b5170a + СП_20271001_355043d4c7d711f083a1005056b5170a + СП_20271101_355043d4c7d711f083a1005056b5170a + СП_20271201_355043d4c7d711f083a1005056b5170a</f>
        <v>0</v>
      </c>
    </row>
    <row r="89" spans="1:15" ht="15" customHeight="1" outlineLevel="3" x14ac:dyDescent="0.25">
      <c r="A89" s="3" t="s">
        <v>184</v>
      </c>
      <c r="B89" s="3" t="s">
        <v>185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4">
        <f>СП_20270101_46829e96c7d711f083a1005056b5170a + СП_20270201_46829e96c7d711f083a1005056b5170a + СП_20270301_46829e96c7d711f083a1005056b5170a + СП_20270401_46829e96c7d711f083a1005056b5170a + СП_20270501_46829e96c7d711f083a1005056b5170a + СП_20270601_46829e96c7d711f083a1005056b5170a + СП_20270701_46829e96c7d711f083a1005056b5170a + СП_20270801_46829e96c7d711f083a1005056b5170a + СП_20270901_46829e96c7d711f083a1005056b5170a + СП_20271001_46829e96c7d711f083a1005056b5170a + СП_20271101_46829e96c7d711f083a1005056b5170a + СП_20271201_46829e96c7d711f083a1005056b5170a</f>
        <v>0</v>
      </c>
    </row>
    <row r="90" spans="1:15" ht="15" customHeight="1" outlineLevel="2" x14ac:dyDescent="0.25">
      <c r="A90" s="3" t="s">
        <v>186</v>
      </c>
      <c r="B90" s="3" t="s">
        <v>187</v>
      </c>
      <c r="C90" s="4">
        <f>СП_20270101_e21f8f63c7d711f083a1005056b5170a + СП_20270101_f38ae66bc7d711f083a1005056b5170a + СП_20270101_3f2ff9d6a5b011ef8384005056b5170a + СП_20270101_2f74b944c7d811f083a1005056b5170a + СП_20270101_aa40973a1d4a11f183c7005056b5170a</f>
        <v>0</v>
      </c>
      <c r="D90" s="4">
        <f>СП_20270201_e21f8f63c7d711f083a1005056b5170a + СП_20270201_f38ae66bc7d711f083a1005056b5170a + СП_20270201_3f2ff9d6a5b011ef8384005056b5170a + СП_20270201_2f74b944c7d811f083a1005056b5170a + СП_20270201_aa40973a1d4a11f183c7005056b5170a</f>
        <v>0</v>
      </c>
      <c r="E90" s="4">
        <f>СП_20270301_e21f8f63c7d711f083a1005056b5170a + СП_20270301_f38ae66bc7d711f083a1005056b5170a + СП_20270301_3f2ff9d6a5b011ef8384005056b5170a + СП_20270301_2f74b944c7d811f083a1005056b5170a + СП_20270301_aa40973a1d4a11f183c7005056b5170a</f>
        <v>0</v>
      </c>
      <c r="F90" s="4">
        <f>СП_20270401_e21f8f63c7d711f083a1005056b5170a + СП_20270401_f38ae66bc7d711f083a1005056b5170a + СП_20270401_3f2ff9d6a5b011ef8384005056b5170a + СП_20270401_2f74b944c7d811f083a1005056b5170a + СП_20270401_aa40973a1d4a11f183c7005056b5170a</f>
        <v>0</v>
      </c>
      <c r="G90" s="4">
        <f>СП_20270501_e21f8f63c7d711f083a1005056b5170a + СП_20270501_f38ae66bc7d711f083a1005056b5170a + СП_20270501_3f2ff9d6a5b011ef8384005056b5170a + СП_20270501_2f74b944c7d811f083a1005056b5170a + СП_20270501_aa40973a1d4a11f183c7005056b5170a</f>
        <v>0</v>
      </c>
      <c r="H90" s="4">
        <f>СП_20270601_e21f8f63c7d711f083a1005056b5170a + СП_20270601_f38ae66bc7d711f083a1005056b5170a + СП_20270601_3f2ff9d6a5b011ef8384005056b5170a + СП_20270601_2f74b944c7d811f083a1005056b5170a + СП_20270601_aa40973a1d4a11f183c7005056b5170a</f>
        <v>0</v>
      </c>
      <c r="I90" s="4">
        <f>СП_20270701_e21f8f63c7d711f083a1005056b5170a + СП_20270701_f38ae66bc7d711f083a1005056b5170a + СП_20270701_3f2ff9d6a5b011ef8384005056b5170a + СП_20270701_2f74b944c7d811f083a1005056b5170a + СП_20270701_aa40973a1d4a11f183c7005056b5170a</f>
        <v>0</v>
      </c>
      <c r="J90" s="4">
        <f>СП_20270801_e21f8f63c7d711f083a1005056b5170a + СП_20270801_f38ae66bc7d711f083a1005056b5170a + СП_20270801_3f2ff9d6a5b011ef8384005056b5170a + СП_20270801_2f74b944c7d811f083a1005056b5170a + СП_20270801_aa40973a1d4a11f183c7005056b5170a</f>
        <v>0</v>
      </c>
      <c r="K90" s="4">
        <f>СП_20270901_e21f8f63c7d711f083a1005056b5170a + СП_20270901_f38ae66bc7d711f083a1005056b5170a + СП_20270901_3f2ff9d6a5b011ef8384005056b5170a + СП_20270901_2f74b944c7d811f083a1005056b5170a + СП_20270901_aa40973a1d4a11f183c7005056b5170a</f>
        <v>0</v>
      </c>
      <c r="L90" s="4">
        <f>СП_20271001_e21f8f63c7d711f083a1005056b5170a + СП_20271001_f38ae66bc7d711f083a1005056b5170a + СП_20271001_3f2ff9d6a5b011ef8384005056b5170a + СП_20271001_2f74b944c7d811f083a1005056b5170a + СП_20271001_aa40973a1d4a11f183c7005056b5170a</f>
        <v>0</v>
      </c>
      <c r="M90" s="4">
        <f>СП_20271101_e21f8f63c7d711f083a1005056b5170a + СП_20271101_f38ae66bc7d711f083a1005056b5170a + СП_20271101_3f2ff9d6a5b011ef8384005056b5170a + СП_20271101_2f74b944c7d811f083a1005056b5170a + СП_20271101_aa40973a1d4a11f183c7005056b5170a</f>
        <v>0</v>
      </c>
      <c r="N90" s="4">
        <f>СП_20271201_e21f8f63c7d711f083a1005056b5170a + СП_20271201_f38ae66bc7d711f083a1005056b5170a + СП_20271201_3f2ff9d6a5b011ef8384005056b5170a + СП_20271201_2f74b944c7d811f083a1005056b5170a + СП_20271201_aa40973a1d4a11f183c7005056b5170a</f>
        <v>0</v>
      </c>
      <c r="O90" s="4">
        <f>СП_Итог_e21f8f63c7d711f083a1005056b5170a + СП_Итог_f38ae66bc7d711f083a1005056b5170a + СП_Итог_3f2ff9d6a5b011ef8384005056b5170a + СП_Итог_2f74b944c7d811f083a1005056b5170a + СП_Итог_aa40973a1d4a11f183c7005056b5170a</f>
        <v>0</v>
      </c>
    </row>
    <row r="91" spans="1:15" ht="15" customHeight="1" outlineLevel="3" x14ac:dyDescent="0.25">
      <c r="A91" s="3" t="s">
        <v>188</v>
      </c>
      <c r="B91" s="3" t="s">
        <v>189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4">
        <f>СП_20270101_e21f8f63c7d711f083a1005056b5170a + СП_20270201_e21f8f63c7d711f083a1005056b5170a + СП_20270301_e21f8f63c7d711f083a1005056b5170a + СП_20270401_e21f8f63c7d711f083a1005056b5170a + СП_20270501_e21f8f63c7d711f083a1005056b5170a + СП_20270601_e21f8f63c7d711f083a1005056b5170a + СП_20270701_e21f8f63c7d711f083a1005056b5170a + СП_20270801_e21f8f63c7d711f083a1005056b5170a + СП_20270901_e21f8f63c7d711f083a1005056b5170a + СП_20271001_e21f8f63c7d711f083a1005056b5170a + СП_20271101_e21f8f63c7d711f083a1005056b5170a + СП_20271201_e21f8f63c7d711f083a1005056b5170a</f>
        <v>0</v>
      </c>
    </row>
    <row r="92" spans="1:15" ht="15" customHeight="1" outlineLevel="3" x14ac:dyDescent="0.25">
      <c r="A92" s="3" t="s">
        <v>190</v>
      </c>
      <c r="B92" s="3" t="s">
        <v>191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4">
        <f>СП_20270101_f38ae66bc7d711f083a1005056b5170a + СП_20270201_f38ae66bc7d711f083a1005056b5170a + СП_20270301_f38ae66bc7d711f083a1005056b5170a + СП_20270401_f38ae66bc7d711f083a1005056b5170a + СП_20270501_f38ae66bc7d711f083a1005056b5170a + СП_20270601_f38ae66bc7d711f083a1005056b5170a + СП_20270701_f38ae66bc7d711f083a1005056b5170a + СП_20270801_f38ae66bc7d711f083a1005056b5170a + СП_20270901_f38ae66bc7d711f083a1005056b5170a + СП_20271001_f38ae66bc7d711f083a1005056b5170a + СП_20271101_f38ae66bc7d711f083a1005056b5170a + СП_20271201_f38ae66bc7d711f083a1005056b5170a</f>
        <v>0</v>
      </c>
    </row>
    <row r="93" spans="1:15" ht="15" customHeight="1" outlineLevel="3" x14ac:dyDescent="0.25">
      <c r="A93" s="3" t="s">
        <v>192</v>
      </c>
      <c r="B93" s="3" t="s">
        <v>193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4">
        <f>СП_20270101_3f2ff9d6a5b011ef8384005056b5170a + СП_20270201_3f2ff9d6a5b011ef8384005056b5170a + СП_20270301_3f2ff9d6a5b011ef8384005056b5170a + СП_20270401_3f2ff9d6a5b011ef8384005056b5170a + СП_20270501_3f2ff9d6a5b011ef8384005056b5170a + СП_20270601_3f2ff9d6a5b011ef8384005056b5170a + СП_20270701_3f2ff9d6a5b011ef8384005056b5170a + СП_20270801_3f2ff9d6a5b011ef8384005056b5170a + СП_20270901_3f2ff9d6a5b011ef8384005056b5170a + СП_20271001_3f2ff9d6a5b011ef8384005056b5170a + СП_20271101_3f2ff9d6a5b011ef8384005056b5170a + СП_20271201_3f2ff9d6a5b011ef8384005056b5170a</f>
        <v>0</v>
      </c>
    </row>
    <row r="94" spans="1:15" ht="15" customHeight="1" outlineLevel="3" x14ac:dyDescent="0.25">
      <c r="A94" s="3" t="s">
        <v>194</v>
      </c>
      <c r="B94" s="3" t="s">
        <v>195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4">
        <f>СП_20270101_2f74b944c7d811f083a1005056b5170a + СП_20270201_2f74b944c7d811f083a1005056b5170a + СП_20270301_2f74b944c7d811f083a1005056b5170a + СП_20270401_2f74b944c7d811f083a1005056b5170a + СП_20270501_2f74b944c7d811f083a1005056b5170a + СП_20270601_2f74b944c7d811f083a1005056b5170a + СП_20270701_2f74b944c7d811f083a1005056b5170a + СП_20270801_2f74b944c7d811f083a1005056b5170a + СП_20270901_2f74b944c7d811f083a1005056b5170a + СП_20271001_2f74b944c7d811f083a1005056b5170a + СП_20271101_2f74b944c7d811f083a1005056b5170a + СП_20271201_2f74b944c7d811f083a1005056b5170a</f>
        <v>0</v>
      </c>
    </row>
    <row r="95" spans="1:15" ht="15" customHeight="1" outlineLevel="3" x14ac:dyDescent="0.25">
      <c r="A95" s="3" t="s">
        <v>196</v>
      </c>
      <c r="B95" s="3" t="s">
        <v>197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4">
        <f>СП_20270101_aa40973a1d4a11f183c7005056b5170a + СП_20270201_aa40973a1d4a11f183c7005056b5170a + СП_20270301_aa40973a1d4a11f183c7005056b5170a + СП_20270401_aa40973a1d4a11f183c7005056b5170a + СП_20270501_aa40973a1d4a11f183c7005056b5170a + СП_20270601_aa40973a1d4a11f183c7005056b5170a + СП_20270701_aa40973a1d4a11f183c7005056b5170a + СП_20270801_aa40973a1d4a11f183c7005056b5170a + СП_20270901_aa40973a1d4a11f183c7005056b5170a + СП_20271001_aa40973a1d4a11f183c7005056b5170a + СП_20271101_aa40973a1d4a11f183c7005056b5170a + СП_20271201_aa40973a1d4a11f183c7005056b5170a</f>
        <v>0</v>
      </c>
    </row>
    <row r="96" spans="1:15" ht="15" customHeight="1" outlineLevel="2" x14ac:dyDescent="0.25">
      <c r="A96" s="3" t="s">
        <v>198</v>
      </c>
      <c r="B96" s="3" t="s">
        <v>199</v>
      </c>
      <c r="C96" s="4">
        <f>СП_20270101_ab6bfd2cc7d811f083a1005056b5170a + СП_20270101_bc7a7d01c7d811f083a1005056b5170a + СП_20270101_cc91985fc7d811f083a1005056b5170a + СП_20270101_e5e5c84ec7d811f083a1005056b5170a + СП_20270101_f15872d1c7d811f083a1005056b5170a + СП_20270101_03e74c0fc7d911f083a1005056b5170a</f>
        <v>0</v>
      </c>
      <c r="D96" s="4">
        <f>СП_20270201_ab6bfd2cc7d811f083a1005056b5170a + СП_20270201_bc7a7d01c7d811f083a1005056b5170a + СП_20270201_cc91985fc7d811f083a1005056b5170a + СП_20270201_e5e5c84ec7d811f083a1005056b5170a + СП_20270201_f15872d1c7d811f083a1005056b5170a + СП_20270201_03e74c0fc7d911f083a1005056b5170a</f>
        <v>0</v>
      </c>
      <c r="E96" s="4">
        <f>СП_20270301_ab6bfd2cc7d811f083a1005056b5170a + СП_20270301_bc7a7d01c7d811f083a1005056b5170a + СП_20270301_cc91985fc7d811f083a1005056b5170a + СП_20270301_e5e5c84ec7d811f083a1005056b5170a + СП_20270301_f15872d1c7d811f083a1005056b5170a + СП_20270301_03e74c0fc7d911f083a1005056b5170a</f>
        <v>0</v>
      </c>
      <c r="F96" s="4">
        <f>СП_20270401_ab6bfd2cc7d811f083a1005056b5170a + СП_20270401_bc7a7d01c7d811f083a1005056b5170a + СП_20270401_cc91985fc7d811f083a1005056b5170a + СП_20270401_e5e5c84ec7d811f083a1005056b5170a + СП_20270401_f15872d1c7d811f083a1005056b5170a + СП_20270401_03e74c0fc7d911f083a1005056b5170a</f>
        <v>0</v>
      </c>
      <c r="G96" s="4">
        <f>СП_20270501_ab6bfd2cc7d811f083a1005056b5170a + СП_20270501_bc7a7d01c7d811f083a1005056b5170a + СП_20270501_cc91985fc7d811f083a1005056b5170a + СП_20270501_e5e5c84ec7d811f083a1005056b5170a + СП_20270501_f15872d1c7d811f083a1005056b5170a + СП_20270501_03e74c0fc7d911f083a1005056b5170a</f>
        <v>0</v>
      </c>
      <c r="H96" s="4">
        <f>СП_20270601_ab6bfd2cc7d811f083a1005056b5170a + СП_20270601_bc7a7d01c7d811f083a1005056b5170a + СП_20270601_cc91985fc7d811f083a1005056b5170a + СП_20270601_e5e5c84ec7d811f083a1005056b5170a + СП_20270601_f15872d1c7d811f083a1005056b5170a + СП_20270601_03e74c0fc7d911f083a1005056b5170a</f>
        <v>0</v>
      </c>
      <c r="I96" s="4">
        <f>СП_20270701_ab6bfd2cc7d811f083a1005056b5170a + СП_20270701_bc7a7d01c7d811f083a1005056b5170a + СП_20270701_cc91985fc7d811f083a1005056b5170a + СП_20270701_e5e5c84ec7d811f083a1005056b5170a + СП_20270701_f15872d1c7d811f083a1005056b5170a + СП_20270701_03e74c0fc7d911f083a1005056b5170a</f>
        <v>0</v>
      </c>
      <c r="J96" s="4">
        <f>СП_20270801_ab6bfd2cc7d811f083a1005056b5170a + СП_20270801_bc7a7d01c7d811f083a1005056b5170a + СП_20270801_cc91985fc7d811f083a1005056b5170a + СП_20270801_e5e5c84ec7d811f083a1005056b5170a + СП_20270801_f15872d1c7d811f083a1005056b5170a + СП_20270801_03e74c0fc7d911f083a1005056b5170a</f>
        <v>0</v>
      </c>
      <c r="K96" s="4">
        <f>СП_20270901_ab6bfd2cc7d811f083a1005056b5170a + СП_20270901_bc7a7d01c7d811f083a1005056b5170a + СП_20270901_cc91985fc7d811f083a1005056b5170a + СП_20270901_e5e5c84ec7d811f083a1005056b5170a + СП_20270901_f15872d1c7d811f083a1005056b5170a + СП_20270901_03e74c0fc7d911f083a1005056b5170a</f>
        <v>0</v>
      </c>
      <c r="L96" s="4">
        <f>СП_20271001_ab6bfd2cc7d811f083a1005056b5170a + СП_20271001_bc7a7d01c7d811f083a1005056b5170a + СП_20271001_cc91985fc7d811f083a1005056b5170a + СП_20271001_e5e5c84ec7d811f083a1005056b5170a + СП_20271001_f15872d1c7d811f083a1005056b5170a + СП_20271001_03e74c0fc7d911f083a1005056b5170a</f>
        <v>0</v>
      </c>
      <c r="M96" s="4">
        <f>СП_20271101_ab6bfd2cc7d811f083a1005056b5170a + СП_20271101_bc7a7d01c7d811f083a1005056b5170a + СП_20271101_cc91985fc7d811f083a1005056b5170a + СП_20271101_e5e5c84ec7d811f083a1005056b5170a + СП_20271101_f15872d1c7d811f083a1005056b5170a + СП_20271101_03e74c0fc7d911f083a1005056b5170a</f>
        <v>0</v>
      </c>
      <c r="N96" s="4">
        <f>СП_20271201_ab6bfd2cc7d811f083a1005056b5170a + СП_20271201_bc7a7d01c7d811f083a1005056b5170a + СП_20271201_cc91985fc7d811f083a1005056b5170a + СП_20271201_e5e5c84ec7d811f083a1005056b5170a + СП_20271201_f15872d1c7d811f083a1005056b5170a + СП_20271201_03e74c0fc7d911f083a1005056b5170a</f>
        <v>0</v>
      </c>
      <c r="O96" s="4">
        <f>СП_Итог_ab6bfd2cc7d811f083a1005056b5170a + СП_Итог_bc7a7d01c7d811f083a1005056b5170a + СП_Итог_cc91985fc7d811f083a1005056b5170a + СП_Итог_e5e5c84ec7d811f083a1005056b5170a + СП_Итог_f15872d1c7d811f083a1005056b5170a + СП_Итог_03e74c0fc7d911f083a1005056b5170a</f>
        <v>0</v>
      </c>
    </row>
    <row r="97" spans="1:15" ht="15" customHeight="1" outlineLevel="3" x14ac:dyDescent="0.25">
      <c r="A97" s="3" t="s">
        <v>200</v>
      </c>
      <c r="B97" s="3" t="s">
        <v>201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4">
        <f>СП_20270101_ab6bfd2cc7d811f083a1005056b5170a + СП_20270201_ab6bfd2cc7d811f083a1005056b5170a + СП_20270301_ab6bfd2cc7d811f083a1005056b5170a + СП_20270401_ab6bfd2cc7d811f083a1005056b5170a + СП_20270501_ab6bfd2cc7d811f083a1005056b5170a + СП_20270601_ab6bfd2cc7d811f083a1005056b5170a + СП_20270701_ab6bfd2cc7d811f083a1005056b5170a + СП_20270801_ab6bfd2cc7d811f083a1005056b5170a + СП_20270901_ab6bfd2cc7d811f083a1005056b5170a + СП_20271001_ab6bfd2cc7d811f083a1005056b5170a + СП_20271101_ab6bfd2cc7d811f083a1005056b5170a + СП_20271201_ab6bfd2cc7d811f083a1005056b5170a</f>
        <v>0</v>
      </c>
    </row>
    <row r="98" spans="1:15" ht="15" customHeight="1" outlineLevel="3" x14ac:dyDescent="0.25">
      <c r="A98" s="3" t="s">
        <v>202</v>
      </c>
      <c r="B98" s="3" t="s">
        <v>203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4">
        <f>СП_20270101_bc7a7d01c7d811f083a1005056b5170a + СП_20270201_bc7a7d01c7d811f083a1005056b5170a + СП_20270301_bc7a7d01c7d811f083a1005056b5170a + СП_20270401_bc7a7d01c7d811f083a1005056b5170a + СП_20270501_bc7a7d01c7d811f083a1005056b5170a + СП_20270601_bc7a7d01c7d811f083a1005056b5170a + СП_20270701_bc7a7d01c7d811f083a1005056b5170a + СП_20270801_bc7a7d01c7d811f083a1005056b5170a + СП_20270901_bc7a7d01c7d811f083a1005056b5170a + СП_20271001_bc7a7d01c7d811f083a1005056b5170a + СП_20271101_bc7a7d01c7d811f083a1005056b5170a + СП_20271201_bc7a7d01c7d811f083a1005056b5170a</f>
        <v>0</v>
      </c>
    </row>
    <row r="99" spans="1:15" ht="15" customHeight="1" outlineLevel="3" x14ac:dyDescent="0.25">
      <c r="A99" s="3" t="s">
        <v>204</v>
      </c>
      <c r="B99" s="3" t="s">
        <v>205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4">
        <f>СП_20270101_cc91985fc7d811f083a1005056b5170a + СП_20270201_cc91985fc7d811f083a1005056b5170a + СП_20270301_cc91985fc7d811f083a1005056b5170a + СП_20270401_cc91985fc7d811f083a1005056b5170a + СП_20270501_cc91985fc7d811f083a1005056b5170a + СП_20270601_cc91985fc7d811f083a1005056b5170a + СП_20270701_cc91985fc7d811f083a1005056b5170a + СП_20270801_cc91985fc7d811f083a1005056b5170a + СП_20270901_cc91985fc7d811f083a1005056b5170a + СП_20271001_cc91985fc7d811f083a1005056b5170a + СП_20271101_cc91985fc7d811f083a1005056b5170a + СП_20271201_cc91985fc7d811f083a1005056b5170a</f>
        <v>0</v>
      </c>
    </row>
    <row r="100" spans="1:15" ht="15" customHeight="1" outlineLevel="3" x14ac:dyDescent="0.25">
      <c r="A100" s="3" t="s">
        <v>206</v>
      </c>
      <c r="B100" s="3" t="s">
        <v>207</v>
      </c>
      <c r="C100" s="5">
        <v>0</v>
      </c>
      <c r="D100" s="5">
        <v>0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4">
        <f>СП_20270101_e5e5c84ec7d811f083a1005056b5170a + СП_20270201_e5e5c84ec7d811f083a1005056b5170a + СП_20270301_e5e5c84ec7d811f083a1005056b5170a + СП_20270401_e5e5c84ec7d811f083a1005056b5170a + СП_20270501_e5e5c84ec7d811f083a1005056b5170a + СП_20270601_e5e5c84ec7d811f083a1005056b5170a + СП_20270701_e5e5c84ec7d811f083a1005056b5170a + СП_20270801_e5e5c84ec7d811f083a1005056b5170a + СП_20270901_e5e5c84ec7d811f083a1005056b5170a + СП_20271001_e5e5c84ec7d811f083a1005056b5170a + СП_20271101_e5e5c84ec7d811f083a1005056b5170a + СП_20271201_e5e5c84ec7d811f083a1005056b5170a</f>
        <v>0</v>
      </c>
    </row>
    <row r="101" spans="1:15" ht="15" customHeight="1" outlineLevel="3" x14ac:dyDescent="0.25">
      <c r="A101" s="3" t="s">
        <v>208</v>
      </c>
      <c r="B101" s="3" t="s">
        <v>209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4">
        <f>СП_20270101_f15872d1c7d811f083a1005056b5170a + СП_20270201_f15872d1c7d811f083a1005056b5170a + СП_20270301_f15872d1c7d811f083a1005056b5170a + СП_20270401_f15872d1c7d811f083a1005056b5170a + СП_20270501_f15872d1c7d811f083a1005056b5170a + СП_20270601_f15872d1c7d811f083a1005056b5170a + СП_20270701_f15872d1c7d811f083a1005056b5170a + СП_20270801_f15872d1c7d811f083a1005056b5170a + СП_20270901_f15872d1c7d811f083a1005056b5170a + СП_20271001_f15872d1c7d811f083a1005056b5170a + СП_20271101_f15872d1c7d811f083a1005056b5170a + СП_20271201_f15872d1c7d811f083a1005056b5170a</f>
        <v>0</v>
      </c>
    </row>
    <row r="102" spans="1:15" ht="15" customHeight="1" outlineLevel="3" x14ac:dyDescent="0.25">
      <c r="A102" s="3" t="s">
        <v>210</v>
      </c>
      <c r="B102" s="3" t="s">
        <v>211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4">
        <f>СП_20270101_03e74c0fc7d911f083a1005056b5170a + СП_20270201_03e74c0fc7d911f083a1005056b5170a + СП_20270301_03e74c0fc7d911f083a1005056b5170a + СП_20270401_03e74c0fc7d911f083a1005056b5170a + СП_20270501_03e74c0fc7d911f083a1005056b5170a + СП_20270601_03e74c0fc7d911f083a1005056b5170a + СП_20270701_03e74c0fc7d911f083a1005056b5170a + СП_20270801_03e74c0fc7d911f083a1005056b5170a + СП_20270901_03e74c0fc7d911f083a1005056b5170a + СП_20271001_03e74c0fc7d911f083a1005056b5170a + СП_20271101_03e74c0fc7d911f083a1005056b5170a + СП_20271201_03e74c0fc7d911f083a1005056b5170a</f>
        <v>0</v>
      </c>
    </row>
    <row r="103" spans="1:15" ht="15" customHeight="1" outlineLevel="2" x14ac:dyDescent="0.25">
      <c r="A103" s="3" t="s">
        <v>212</v>
      </c>
      <c r="B103" s="3" t="s">
        <v>213</v>
      </c>
      <c r="C103" s="4">
        <f>СП_20270101_c7add6ff6a4811e4805ad4ae526f013e + СП_20270101_c7add7026a4811e4805ad4ae526f013e + СП_20270101_c7add7016a4811e4805ad4ae526f013e + СП_20270101_c7add6cd6a4811e4805ad4ae526f013e</f>
        <v>0</v>
      </c>
      <c r="D103" s="4">
        <f>СП_20270201_c7add6ff6a4811e4805ad4ae526f013e + СП_20270201_c7add7026a4811e4805ad4ae526f013e + СП_20270201_c7add7016a4811e4805ad4ae526f013e + СП_20270201_c7add6cd6a4811e4805ad4ae526f013e</f>
        <v>0</v>
      </c>
      <c r="E103" s="4">
        <f>СП_20270301_c7add6ff6a4811e4805ad4ae526f013e + СП_20270301_c7add7026a4811e4805ad4ae526f013e + СП_20270301_c7add7016a4811e4805ad4ae526f013e + СП_20270301_c7add6cd6a4811e4805ad4ae526f013e</f>
        <v>0</v>
      </c>
      <c r="F103" s="4">
        <f>СП_20270401_c7add6ff6a4811e4805ad4ae526f013e + СП_20270401_c7add7026a4811e4805ad4ae526f013e + СП_20270401_c7add7016a4811e4805ad4ae526f013e + СП_20270401_c7add6cd6a4811e4805ad4ae526f013e</f>
        <v>0</v>
      </c>
      <c r="G103" s="4">
        <f>СП_20270501_c7add6ff6a4811e4805ad4ae526f013e + СП_20270501_c7add7026a4811e4805ad4ae526f013e + СП_20270501_c7add7016a4811e4805ad4ae526f013e + СП_20270501_c7add6cd6a4811e4805ad4ae526f013e</f>
        <v>0</v>
      </c>
      <c r="H103" s="4">
        <f>СП_20270601_c7add6ff6a4811e4805ad4ae526f013e + СП_20270601_c7add7026a4811e4805ad4ae526f013e + СП_20270601_c7add7016a4811e4805ad4ae526f013e + СП_20270601_c7add6cd6a4811e4805ad4ae526f013e</f>
        <v>0</v>
      </c>
      <c r="I103" s="4">
        <f>СП_20270701_c7add6ff6a4811e4805ad4ae526f013e + СП_20270701_c7add7026a4811e4805ad4ae526f013e + СП_20270701_c7add7016a4811e4805ad4ae526f013e + СП_20270701_c7add6cd6a4811e4805ad4ae526f013e</f>
        <v>0</v>
      </c>
      <c r="J103" s="4">
        <f>СП_20270801_c7add6ff6a4811e4805ad4ae526f013e + СП_20270801_c7add7026a4811e4805ad4ae526f013e + СП_20270801_c7add7016a4811e4805ad4ae526f013e + СП_20270801_c7add6cd6a4811e4805ad4ae526f013e</f>
        <v>0</v>
      </c>
      <c r="K103" s="4">
        <f>СП_20270901_c7add6ff6a4811e4805ad4ae526f013e + СП_20270901_c7add7026a4811e4805ad4ae526f013e + СП_20270901_c7add7016a4811e4805ad4ae526f013e + СП_20270901_c7add6cd6a4811e4805ad4ae526f013e</f>
        <v>0</v>
      </c>
      <c r="L103" s="4">
        <f>СП_20271001_c7add6ff6a4811e4805ad4ae526f013e + СП_20271001_c7add7026a4811e4805ad4ae526f013e + СП_20271001_c7add7016a4811e4805ad4ae526f013e + СП_20271001_c7add6cd6a4811e4805ad4ae526f013e</f>
        <v>0</v>
      </c>
      <c r="M103" s="4">
        <f>СП_20271101_c7add6ff6a4811e4805ad4ae526f013e + СП_20271101_c7add7026a4811e4805ad4ae526f013e + СП_20271101_c7add7016a4811e4805ad4ae526f013e + СП_20271101_c7add6cd6a4811e4805ad4ae526f013e</f>
        <v>0</v>
      </c>
      <c r="N103" s="4">
        <f>СП_20271201_c7add6ff6a4811e4805ad4ae526f013e + СП_20271201_c7add7026a4811e4805ad4ae526f013e + СП_20271201_c7add7016a4811e4805ad4ae526f013e + СП_20271201_c7add6cd6a4811e4805ad4ae526f013e</f>
        <v>0</v>
      </c>
      <c r="O103" s="4">
        <f>СП_Итог_c7add6ff6a4811e4805ad4ae526f013e + СП_Итог_c7add7026a4811e4805ad4ae526f013e + СП_Итог_c7add7016a4811e4805ad4ae526f013e + СП_Итог_c7add6cd6a4811e4805ad4ae526f013e</f>
        <v>0</v>
      </c>
    </row>
    <row r="104" spans="1:15" ht="15" customHeight="1" outlineLevel="3" x14ac:dyDescent="0.25">
      <c r="A104" s="3" t="s">
        <v>214</v>
      </c>
      <c r="B104" s="3" t="s">
        <v>215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4">
        <f>СП_20270101_c7add6ff6a4811e4805ad4ae526f013e + СП_20270201_c7add6ff6a4811e4805ad4ae526f013e + СП_20270301_c7add6ff6a4811e4805ad4ae526f013e + СП_20270401_c7add6ff6a4811e4805ad4ae526f013e + СП_20270501_c7add6ff6a4811e4805ad4ae526f013e + СП_20270601_c7add6ff6a4811e4805ad4ae526f013e + СП_20270701_c7add6ff6a4811e4805ad4ae526f013e + СП_20270801_c7add6ff6a4811e4805ad4ae526f013e + СП_20270901_c7add6ff6a4811e4805ad4ae526f013e + СП_20271001_c7add6ff6a4811e4805ad4ae526f013e + СП_20271101_c7add6ff6a4811e4805ad4ae526f013e + СП_20271201_c7add6ff6a4811e4805ad4ae526f013e</f>
        <v>0</v>
      </c>
    </row>
    <row r="105" spans="1:15" ht="15" customHeight="1" outlineLevel="3" x14ac:dyDescent="0.25">
      <c r="A105" s="3" t="s">
        <v>216</v>
      </c>
      <c r="B105" s="3" t="s">
        <v>217</v>
      </c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4">
        <f>СП_20270101_c7add7026a4811e4805ad4ae526f013e + СП_20270201_c7add7026a4811e4805ad4ae526f013e + СП_20270301_c7add7026a4811e4805ad4ae526f013e + СП_20270401_c7add7026a4811e4805ad4ae526f013e + СП_20270501_c7add7026a4811e4805ad4ae526f013e + СП_20270601_c7add7026a4811e4805ad4ae526f013e + СП_20270701_c7add7026a4811e4805ad4ae526f013e + СП_20270801_c7add7026a4811e4805ad4ae526f013e + СП_20270901_c7add7026a4811e4805ad4ae526f013e + СП_20271001_c7add7026a4811e4805ad4ae526f013e + СП_20271101_c7add7026a4811e4805ad4ae526f013e + СП_20271201_c7add7026a4811e4805ad4ae526f013e</f>
        <v>0</v>
      </c>
    </row>
    <row r="106" spans="1:15" ht="15" customHeight="1" outlineLevel="3" x14ac:dyDescent="0.25">
      <c r="A106" s="3" t="s">
        <v>218</v>
      </c>
      <c r="B106" s="3" t="s">
        <v>219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4">
        <f>СП_20270101_c7add7016a4811e4805ad4ae526f013e + СП_20270201_c7add7016a4811e4805ad4ae526f013e + СП_20270301_c7add7016a4811e4805ad4ae526f013e + СП_20270401_c7add7016a4811e4805ad4ae526f013e + СП_20270501_c7add7016a4811e4805ad4ae526f013e + СП_20270601_c7add7016a4811e4805ad4ae526f013e + СП_20270701_c7add7016a4811e4805ad4ae526f013e + СП_20270801_c7add7016a4811e4805ad4ae526f013e + СП_20270901_c7add7016a4811e4805ad4ae526f013e + СП_20271001_c7add7016a4811e4805ad4ae526f013e + СП_20271101_c7add7016a4811e4805ad4ae526f013e + СП_20271201_c7add7016a4811e4805ad4ae526f013e</f>
        <v>0</v>
      </c>
    </row>
    <row r="107" spans="1:15" ht="15" customHeight="1" outlineLevel="3" x14ac:dyDescent="0.25">
      <c r="A107" s="3" t="s">
        <v>220</v>
      </c>
      <c r="B107" s="3" t="s">
        <v>221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4">
        <f>СП_20270101_c7add6cd6a4811e4805ad4ae526f013e + СП_20270201_c7add6cd6a4811e4805ad4ae526f013e + СП_20270301_c7add6cd6a4811e4805ad4ae526f013e + СП_20270401_c7add6cd6a4811e4805ad4ae526f013e + СП_20270501_c7add6cd6a4811e4805ad4ae526f013e + СП_20270601_c7add6cd6a4811e4805ad4ae526f013e + СП_20270701_c7add6cd6a4811e4805ad4ae526f013e + СП_20270801_c7add6cd6a4811e4805ad4ae526f013e + СП_20270901_c7add6cd6a4811e4805ad4ae526f013e + СП_20271001_c7add6cd6a4811e4805ad4ae526f013e + СП_20271101_c7add6cd6a4811e4805ad4ae526f013e + СП_20271201_c7add6cd6a4811e4805ad4ae526f013e</f>
        <v>0</v>
      </c>
    </row>
    <row r="108" spans="1:15" ht="15" customHeight="1" outlineLevel="2" x14ac:dyDescent="0.25">
      <c r="A108" s="3" t="s">
        <v>222</v>
      </c>
      <c r="B108" s="3" t="s">
        <v>223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  <c r="N108" s="5">
        <v>0</v>
      </c>
      <c r="O108" s="4">
        <f>СП_20270101_3c712981dfb011e982ef005056a1be4c + СП_20270201_3c712981dfb011e982ef005056a1be4c + СП_20270301_3c712981dfb011e982ef005056a1be4c + СП_20270401_3c712981dfb011e982ef005056a1be4c + СП_20270501_3c712981dfb011e982ef005056a1be4c + СП_20270601_3c712981dfb011e982ef005056a1be4c + СП_20270701_3c712981dfb011e982ef005056a1be4c + СП_20270801_3c712981dfb011e982ef005056a1be4c + СП_20270901_3c712981dfb011e982ef005056a1be4c + СП_20271001_3c712981dfb011e982ef005056a1be4c + СП_20271101_3c712981dfb011e982ef005056a1be4c + СП_20271201_3c712981dfb011e982ef005056a1be4c</f>
        <v>0</v>
      </c>
    </row>
    <row r="109" spans="1:15" ht="15" customHeight="1" outlineLevel="2" x14ac:dyDescent="0.25">
      <c r="A109" s="3" t="s">
        <v>224</v>
      </c>
      <c r="B109" s="3" t="s">
        <v>225</v>
      </c>
      <c r="C109" s="4">
        <f>СП_20270101_d0ff26e8c84511f083a1005056b5170a + СП_20270101_93e92e58c94711f083a3005056b5170a + СП_20270101_fdbd26b794dc11ee8376005056a1be4c + СП_20270101_85aa1e2d1d4f11f183c7005056b5170a + СП_20270101_0db71d62c84611f083a1005056b5170a + СП_20270101_1a684706c84611f083a1005056b5170a + СП_20270101_9e642f621d4f11f183c7005056b5170a</f>
        <v>0</v>
      </c>
      <c r="D109" s="4">
        <f>СП_20270201_d0ff26e8c84511f083a1005056b5170a + СП_20270201_93e92e58c94711f083a3005056b5170a + СП_20270201_fdbd26b794dc11ee8376005056a1be4c + СП_20270201_85aa1e2d1d4f11f183c7005056b5170a + СП_20270201_0db71d62c84611f083a1005056b5170a + СП_20270201_1a684706c84611f083a1005056b5170a + СП_20270201_9e642f621d4f11f183c7005056b5170a</f>
        <v>0</v>
      </c>
      <c r="E109" s="4">
        <f>СП_20270301_d0ff26e8c84511f083a1005056b5170a + СП_20270301_93e92e58c94711f083a3005056b5170a + СП_20270301_fdbd26b794dc11ee8376005056a1be4c + СП_20270301_85aa1e2d1d4f11f183c7005056b5170a + СП_20270301_0db71d62c84611f083a1005056b5170a + СП_20270301_1a684706c84611f083a1005056b5170a + СП_20270301_9e642f621d4f11f183c7005056b5170a</f>
        <v>0</v>
      </c>
      <c r="F109" s="4">
        <f>СП_20270401_d0ff26e8c84511f083a1005056b5170a + СП_20270401_93e92e58c94711f083a3005056b5170a + СП_20270401_fdbd26b794dc11ee8376005056a1be4c + СП_20270401_85aa1e2d1d4f11f183c7005056b5170a + СП_20270401_0db71d62c84611f083a1005056b5170a + СП_20270401_1a684706c84611f083a1005056b5170a + СП_20270401_9e642f621d4f11f183c7005056b5170a</f>
        <v>0</v>
      </c>
      <c r="G109" s="4">
        <f>СП_20270501_d0ff26e8c84511f083a1005056b5170a + СП_20270501_93e92e58c94711f083a3005056b5170a + СП_20270501_fdbd26b794dc11ee8376005056a1be4c + СП_20270501_85aa1e2d1d4f11f183c7005056b5170a + СП_20270501_0db71d62c84611f083a1005056b5170a + СП_20270501_1a684706c84611f083a1005056b5170a + СП_20270501_9e642f621d4f11f183c7005056b5170a</f>
        <v>0</v>
      </c>
      <c r="H109" s="4">
        <f>СП_20270601_d0ff26e8c84511f083a1005056b5170a + СП_20270601_93e92e58c94711f083a3005056b5170a + СП_20270601_fdbd26b794dc11ee8376005056a1be4c + СП_20270601_85aa1e2d1d4f11f183c7005056b5170a + СП_20270601_0db71d62c84611f083a1005056b5170a + СП_20270601_1a684706c84611f083a1005056b5170a + СП_20270601_9e642f621d4f11f183c7005056b5170a</f>
        <v>0</v>
      </c>
      <c r="I109" s="4">
        <f>СП_20270701_d0ff26e8c84511f083a1005056b5170a + СП_20270701_93e92e58c94711f083a3005056b5170a + СП_20270701_fdbd26b794dc11ee8376005056a1be4c + СП_20270701_85aa1e2d1d4f11f183c7005056b5170a + СП_20270701_0db71d62c84611f083a1005056b5170a + СП_20270701_1a684706c84611f083a1005056b5170a + СП_20270701_9e642f621d4f11f183c7005056b5170a</f>
        <v>0</v>
      </c>
      <c r="J109" s="4">
        <f>СП_20270801_d0ff26e8c84511f083a1005056b5170a + СП_20270801_93e92e58c94711f083a3005056b5170a + СП_20270801_fdbd26b794dc11ee8376005056a1be4c + СП_20270801_85aa1e2d1d4f11f183c7005056b5170a + СП_20270801_0db71d62c84611f083a1005056b5170a + СП_20270801_1a684706c84611f083a1005056b5170a + СП_20270801_9e642f621d4f11f183c7005056b5170a</f>
        <v>0</v>
      </c>
      <c r="K109" s="4">
        <f>СП_20270901_d0ff26e8c84511f083a1005056b5170a + СП_20270901_93e92e58c94711f083a3005056b5170a + СП_20270901_fdbd26b794dc11ee8376005056a1be4c + СП_20270901_85aa1e2d1d4f11f183c7005056b5170a + СП_20270901_0db71d62c84611f083a1005056b5170a + СП_20270901_1a684706c84611f083a1005056b5170a + СП_20270901_9e642f621d4f11f183c7005056b5170a</f>
        <v>0</v>
      </c>
      <c r="L109" s="4">
        <f>СП_20271001_d0ff26e8c84511f083a1005056b5170a + СП_20271001_93e92e58c94711f083a3005056b5170a + СП_20271001_fdbd26b794dc11ee8376005056a1be4c + СП_20271001_85aa1e2d1d4f11f183c7005056b5170a + СП_20271001_0db71d62c84611f083a1005056b5170a + СП_20271001_1a684706c84611f083a1005056b5170a + СП_20271001_9e642f621d4f11f183c7005056b5170a</f>
        <v>0</v>
      </c>
      <c r="M109" s="4">
        <f>СП_20271101_d0ff26e8c84511f083a1005056b5170a + СП_20271101_93e92e58c94711f083a3005056b5170a + СП_20271101_fdbd26b794dc11ee8376005056a1be4c + СП_20271101_85aa1e2d1d4f11f183c7005056b5170a + СП_20271101_0db71d62c84611f083a1005056b5170a + СП_20271101_1a684706c84611f083a1005056b5170a + СП_20271101_9e642f621d4f11f183c7005056b5170a</f>
        <v>0</v>
      </c>
      <c r="N109" s="4">
        <f>СП_20271201_d0ff26e8c84511f083a1005056b5170a + СП_20271201_93e92e58c94711f083a3005056b5170a + СП_20271201_fdbd26b794dc11ee8376005056a1be4c + СП_20271201_85aa1e2d1d4f11f183c7005056b5170a + СП_20271201_0db71d62c84611f083a1005056b5170a + СП_20271201_1a684706c84611f083a1005056b5170a + СП_20271201_9e642f621d4f11f183c7005056b5170a</f>
        <v>0</v>
      </c>
      <c r="O109" s="4">
        <f>СП_Итог_d0ff26e8c84511f083a1005056b5170a + СП_Итог_93e92e58c94711f083a3005056b5170a + СП_Итог_fdbd26b794dc11ee8376005056a1be4c + СП_Итог_85aa1e2d1d4f11f183c7005056b5170a + СП_Итог_0db71d62c84611f083a1005056b5170a + СП_Итог_1a684706c84611f083a1005056b5170a + СП_Итог_9e642f621d4f11f183c7005056b5170a</f>
        <v>0</v>
      </c>
    </row>
    <row r="110" spans="1:15" ht="15" customHeight="1" outlineLevel="3" x14ac:dyDescent="0.25">
      <c r="A110" s="3" t="s">
        <v>226</v>
      </c>
      <c r="B110" s="3" t="s">
        <v>227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  <c r="N110" s="5">
        <v>0</v>
      </c>
      <c r="O110" s="4">
        <f>СП_20270101_d0ff26e8c84511f083a1005056b5170a + СП_20270201_d0ff26e8c84511f083a1005056b5170a + СП_20270301_d0ff26e8c84511f083a1005056b5170a + СП_20270401_d0ff26e8c84511f083a1005056b5170a + СП_20270501_d0ff26e8c84511f083a1005056b5170a + СП_20270601_d0ff26e8c84511f083a1005056b5170a + СП_20270701_d0ff26e8c84511f083a1005056b5170a + СП_20270801_d0ff26e8c84511f083a1005056b5170a + СП_20270901_d0ff26e8c84511f083a1005056b5170a + СП_20271001_d0ff26e8c84511f083a1005056b5170a + СП_20271101_d0ff26e8c84511f083a1005056b5170a + СП_20271201_d0ff26e8c84511f083a1005056b5170a</f>
        <v>0</v>
      </c>
    </row>
    <row r="111" spans="1:15" ht="15" customHeight="1" outlineLevel="3" x14ac:dyDescent="0.25">
      <c r="A111" s="3" t="s">
        <v>228</v>
      </c>
      <c r="B111" s="3" t="s">
        <v>229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4">
        <f>СП_20270101_93e92e58c94711f083a3005056b5170a + СП_20270201_93e92e58c94711f083a3005056b5170a + СП_20270301_93e92e58c94711f083a3005056b5170a + СП_20270401_93e92e58c94711f083a3005056b5170a + СП_20270501_93e92e58c94711f083a3005056b5170a + СП_20270601_93e92e58c94711f083a3005056b5170a + СП_20270701_93e92e58c94711f083a3005056b5170a + СП_20270801_93e92e58c94711f083a3005056b5170a + СП_20270901_93e92e58c94711f083a3005056b5170a + СП_20271001_93e92e58c94711f083a3005056b5170a + СП_20271101_93e92e58c94711f083a3005056b5170a + СП_20271201_93e92e58c94711f083a3005056b5170a</f>
        <v>0</v>
      </c>
    </row>
    <row r="112" spans="1:15" ht="15" customHeight="1" outlineLevel="3" x14ac:dyDescent="0.25">
      <c r="A112" s="3" t="s">
        <v>230</v>
      </c>
      <c r="B112" s="3" t="s">
        <v>231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4">
        <f>СП_20270101_fdbd26b794dc11ee8376005056a1be4c + СП_20270201_fdbd26b794dc11ee8376005056a1be4c + СП_20270301_fdbd26b794dc11ee8376005056a1be4c + СП_20270401_fdbd26b794dc11ee8376005056a1be4c + СП_20270501_fdbd26b794dc11ee8376005056a1be4c + СП_20270601_fdbd26b794dc11ee8376005056a1be4c + СП_20270701_fdbd26b794dc11ee8376005056a1be4c + СП_20270801_fdbd26b794dc11ee8376005056a1be4c + СП_20270901_fdbd26b794dc11ee8376005056a1be4c + СП_20271001_fdbd26b794dc11ee8376005056a1be4c + СП_20271101_fdbd26b794dc11ee8376005056a1be4c + СП_20271201_fdbd26b794dc11ee8376005056a1be4c</f>
        <v>0</v>
      </c>
    </row>
    <row r="113" spans="1:15" ht="15" customHeight="1" outlineLevel="3" x14ac:dyDescent="0.25">
      <c r="A113" s="3" t="s">
        <v>232</v>
      </c>
      <c r="B113" s="3" t="s">
        <v>233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4">
        <f>СП_20270101_85aa1e2d1d4f11f183c7005056b5170a + СП_20270201_85aa1e2d1d4f11f183c7005056b5170a + СП_20270301_85aa1e2d1d4f11f183c7005056b5170a + СП_20270401_85aa1e2d1d4f11f183c7005056b5170a + СП_20270501_85aa1e2d1d4f11f183c7005056b5170a + СП_20270601_85aa1e2d1d4f11f183c7005056b5170a + СП_20270701_85aa1e2d1d4f11f183c7005056b5170a + СП_20270801_85aa1e2d1d4f11f183c7005056b5170a + СП_20270901_85aa1e2d1d4f11f183c7005056b5170a + СП_20271001_85aa1e2d1d4f11f183c7005056b5170a + СП_20271101_85aa1e2d1d4f11f183c7005056b5170a + СП_20271201_85aa1e2d1d4f11f183c7005056b5170a</f>
        <v>0</v>
      </c>
    </row>
    <row r="114" spans="1:15" ht="15" customHeight="1" outlineLevel="3" x14ac:dyDescent="0.25">
      <c r="A114" s="3" t="s">
        <v>234</v>
      </c>
      <c r="B114" s="3" t="s">
        <v>235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4">
        <f>СП_20270101_0db71d62c84611f083a1005056b5170a + СП_20270201_0db71d62c84611f083a1005056b5170a + СП_20270301_0db71d62c84611f083a1005056b5170a + СП_20270401_0db71d62c84611f083a1005056b5170a + СП_20270501_0db71d62c84611f083a1005056b5170a + СП_20270601_0db71d62c84611f083a1005056b5170a + СП_20270701_0db71d62c84611f083a1005056b5170a + СП_20270801_0db71d62c84611f083a1005056b5170a + СП_20270901_0db71d62c84611f083a1005056b5170a + СП_20271001_0db71d62c84611f083a1005056b5170a + СП_20271101_0db71d62c84611f083a1005056b5170a + СП_20271201_0db71d62c84611f083a1005056b5170a</f>
        <v>0</v>
      </c>
    </row>
    <row r="115" spans="1:15" ht="15" customHeight="1" outlineLevel="3" x14ac:dyDescent="0.25">
      <c r="A115" s="3" t="s">
        <v>236</v>
      </c>
      <c r="B115" s="3" t="s">
        <v>237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4">
        <f>СП_20270101_1a684706c84611f083a1005056b5170a + СП_20270201_1a684706c84611f083a1005056b5170a + СП_20270301_1a684706c84611f083a1005056b5170a + СП_20270401_1a684706c84611f083a1005056b5170a + СП_20270501_1a684706c84611f083a1005056b5170a + СП_20270601_1a684706c84611f083a1005056b5170a + СП_20270701_1a684706c84611f083a1005056b5170a + СП_20270801_1a684706c84611f083a1005056b5170a + СП_20270901_1a684706c84611f083a1005056b5170a + СП_20271001_1a684706c84611f083a1005056b5170a + СП_20271101_1a684706c84611f083a1005056b5170a + СП_20271201_1a684706c84611f083a1005056b5170a</f>
        <v>0</v>
      </c>
    </row>
    <row r="116" spans="1:15" ht="15" customHeight="1" outlineLevel="3" x14ac:dyDescent="0.25">
      <c r="A116" s="3" t="s">
        <v>238</v>
      </c>
      <c r="B116" s="3" t="s">
        <v>239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  <c r="N116" s="5">
        <v>0</v>
      </c>
      <c r="O116" s="4">
        <f>СП_20270101_9e642f621d4f11f183c7005056b5170a + СП_20270201_9e642f621d4f11f183c7005056b5170a + СП_20270301_9e642f621d4f11f183c7005056b5170a + СП_20270401_9e642f621d4f11f183c7005056b5170a + СП_20270501_9e642f621d4f11f183c7005056b5170a + СП_20270601_9e642f621d4f11f183c7005056b5170a + СП_20270701_9e642f621d4f11f183c7005056b5170a + СП_20270801_9e642f621d4f11f183c7005056b5170a + СП_20270901_9e642f621d4f11f183c7005056b5170a + СП_20271001_9e642f621d4f11f183c7005056b5170a + СП_20271101_9e642f621d4f11f183c7005056b5170a + СП_20271201_9e642f621d4f11f183c7005056b5170a</f>
        <v>0</v>
      </c>
    </row>
    <row r="117" spans="1:15" ht="15" customHeight="1" outlineLevel="2" x14ac:dyDescent="0.25">
      <c r="A117" s="3" t="s">
        <v>240</v>
      </c>
      <c r="B117" s="3" t="s">
        <v>241</v>
      </c>
      <c r="C117" s="4">
        <f>СП_20270101_6244c5e8c84711f083a1005056b5170a + СП_20270101_9de962cac84711f083a1005056b5170a</f>
        <v>0</v>
      </c>
      <c r="D117" s="4">
        <f>СП_20270201_6244c5e8c84711f083a1005056b5170a + СП_20270201_9de962cac84711f083a1005056b5170a</f>
        <v>0</v>
      </c>
      <c r="E117" s="4">
        <f>СП_20270301_6244c5e8c84711f083a1005056b5170a + СП_20270301_9de962cac84711f083a1005056b5170a</f>
        <v>0</v>
      </c>
      <c r="F117" s="4">
        <f>СП_20270401_6244c5e8c84711f083a1005056b5170a + СП_20270401_9de962cac84711f083a1005056b5170a</f>
        <v>0</v>
      </c>
      <c r="G117" s="4">
        <f>СП_20270501_6244c5e8c84711f083a1005056b5170a + СП_20270501_9de962cac84711f083a1005056b5170a</f>
        <v>0</v>
      </c>
      <c r="H117" s="4">
        <f>СП_20270601_6244c5e8c84711f083a1005056b5170a + СП_20270601_9de962cac84711f083a1005056b5170a</f>
        <v>0</v>
      </c>
      <c r="I117" s="4">
        <f>СП_20270701_6244c5e8c84711f083a1005056b5170a + СП_20270701_9de962cac84711f083a1005056b5170a</f>
        <v>0</v>
      </c>
      <c r="J117" s="4">
        <f>СП_20270801_6244c5e8c84711f083a1005056b5170a + СП_20270801_9de962cac84711f083a1005056b5170a</f>
        <v>0</v>
      </c>
      <c r="K117" s="4">
        <f>СП_20270901_6244c5e8c84711f083a1005056b5170a + СП_20270901_9de962cac84711f083a1005056b5170a</f>
        <v>0</v>
      </c>
      <c r="L117" s="4">
        <f>СП_20271001_6244c5e8c84711f083a1005056b5170a + СП_20271001_9de962cac84711f083a1005056b5170a</f>
        <v>0</v>
      </c>
      <c r="M117" s="4">
        <f>СП_20271101_6244c5e8c84711f083a1005056b5170a + СП_20271101_9de962cac84711f083a1005056b5170a</f>
        <v>0</v>
      </c>
      <c r="N117" s="4">
        <f>СП_20271201_6244c5e8c84711f083a1005056b5170a + СП_20271201_9de962cac84711f083a1005056b5170a</f>
        <v>0</v>
      </c>
      <c r="O117" s="4">
        <f>СП_Итог_6244c5e8c84711f083a1005056b5170a + СП_Итог_9de962cac84711f083a1005056b5170a</f>
        <v>0</v>
      </c>
    </row>
    <row r="118" spans="1:15" ht="15" customHeight="1" outlineLevel="3" x14ac:dyDescent="0.25">
      <c r="A118" s="3" t="s">
        <v>242</v>
      </c>
      <c r="B118" s="3" t="s">
        <v>243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4">
        <f>СП_20270101_6244c5e8c84711f083a1005056b5170a + СП_20270201_6244c5e8c84711f083a1005056b5170a + СП_20270301_6244c5e8c84711f083a1005056b5170a + СП_20270401_6244c5e8c84711f083a1005056b5170a + СП_20270501_6244c5e8c84711f083a1005056b5170a + СП_20270601_6244c5e8c84711f083a1005056b5170a + СП_20270701_6244c5e8c84711f083a1005056b5170a + СП_20270801_6244c5e8c84711f083a1005056b5170a + СП_20270901_6244c5e8c84711f083a1005056b5170a + СП_20271001_6244c5e8c84711f083a1005056b5170a + СП_20271101_6244c5e8c84711f083a1005056b5170a + СП_20271201_6244c5e8c84711f083a1005056b5170a</f>
        <v>0</v>
      </c>
    </row>
    <row r="119" spans="1:15" ht="15" customHeight="1" outlineLevel="3" x14ac:dyDescent="0.25">
      <c r="A119" s="3" t="s">
        <v>244</v>
      </c>
      <c r="B119" s="3" t="s">
        <v>245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4">
        <f>СП_20270101_9de962cac84711f083a1005056b5170a + СП_20270201_9de962cac84711f083a1005056b5170a + СП_20270301_9de962cac84711f083a1005056b5170a + СП_20270401_9de962cac84711f083a1005056b5170a + СП_20270501_9de962cac84711f083a1005056b5170a + СП_20270601_9de962cac84711f083a1005056b5170a + СП_20270701_9de962cac84711f083a1005056b5170a + СП_20270801_9de962cac84711f083a1005056b5170a + СП_20270901_9de962cac84711f083a1005056b5170a + СП_20271001_9de962cac84711f083a1005056b5170a + СП_20271101_9de962cac84711f083a1005056b5170a + СП_20271201_9de962cac84711f083a1005056b5170a</f>
        <v>0</v>
      </c>
    </row>
    <row r="120" spans="1:15" ht="15" customHeight="1" outlineLevel="2" x14ac:dyDescent="0.25">
      <c r="A120" s="3" t="s">
        <v>246</v>
      </c>
      <c r="B120" s="3" t="s">
        <v>247</v>
      </c>
      <c r="C120" s="4">
        <f>СП_20270101_f92069c8c84711f083a1005056b5170a + СП_20270101_036681dbc84811f083a1005056b5170a</f>
        <v>0</v>
      </c>
      <c r="D120" s="4">
        <f>СП_20270201_f92069c8c84711f083a1005056b5170a + СП_20270201_036681dbc84811f083a1005056b5170a</f>
        <v>0</v>
      </c>
      <c r="E120" s="4">
        <f>СП_20270301_f92069c8c84711f083a1005056b5170a + СП_20270301_036681dbc84811f083a1005056b5170a</f>
        <v>0</v>
      </c>
      <c r="F120" s="4">
        <f>СП_20270401_f92069c8c84711f083a1005056b5170a + СП_20270401_036681dbc84811f083a1005056b5170a</f>
        <v>0</v>
      </c>
      <c r="G120" s="4">
        <f>СП_20270501_f92069c8c84711f083a1005056b5170a + СП_20270501_036681dbc84811f083a1005056b5170a</f>
        <v>0</v>
      </c>
      <c r="H120" s="4">
        <f>СП_20270601_f92069c8c84711f083a1005056b5170a + СП_20270601_036681dbc84811f083a1005056b5170a</f>
        <v>0</v>
      </c>
      <c r="I120" s="4">
        <f>СП_20270701_f92069c8c84711f083a1005056b5170a + СП_20270701_036681dbc84811f083a1005056b5170a</f>
        <v>0</v>
      </c>
      <c r="J120" s="4">
        <f>СП_20270801_f92069c8c84711f083a1005056b5170a + СП_20270801_036681dbc84811f083a1005056b5170a</f>
        <v>0</v>
      </c>
      <c r="K120" s="4">
        <f>СП_20270901_f92069c8c84711f083a1005056b5170a + СП_20270901_036681dbc84811f083a1005056b5170a</f>
        <v>0</v>
      </c>
      <c r="L120" s="4">
        <f>СП_20271001_f92069c8c84711f083a1005056b5170a + СП_20271001_036681dbc84811f083a1005056b5170a</f>
        <v>0</v>
      </c>
      <c r="M120" s="4">
        <f>СП_20271101_f92069c8c84711f083a1005056b5170a + СП_20271101_036681dbc84811f083a1005056b5170a</f>
        <v>0</v>
      </c>
      <c r="N120" s="4">
        <f>СП_20271201_f92069c8c84711f083a1005056b5170a + СП_20271201_036681dbc84811f083a1005056b5170a</f>
        <v>0</v>
      </c>
      <c r="O120" s="4">
        <f>СП_Итог_f92069c8c84711f083a1005056b5170a + СП_Итог_036681dbc84811f083a1005056b5170a</f>
        <v>0</v>
      </c>
    </row>
    <row r="121" spans="1:15" ht="15" customHeight="1" outlineLevel="3" x14ac:dyDescent="0.25">
      <c r="A121" s="3" t="s">
        <v>248</v>
      </c>
      <c r="B121" s="3" t="s">
        <v>249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4">
        <f>СП_20270101_f92069c8c84711f083a1005056b5170a + СП_20270201_f92069c8c84711f083a1005056b5170a + СП_20270301_f92069c8c84711f083a1005056b5170a + СП_20270401_f92069c8c84711f083a1005056b5170a + СП_20270501_f92069c8c84711f083a1005056b5170a + СП_20270601_f92069c8c84711f083a1005056b5170a + СП_20270701_f92069c8c84711f083a1005056b5170a + СП_20270801_f92069c8c84711f083a1005056b5170a + СП_20270901_f92069c8c84711f083a1005056b5170a + СП_20271001_f92069c8c84711f083a1005056b5170a + СП_20271101_f92069c8c84711f083a1005056b5170a + СП_20271201_f92069c8c84711f083a1005056b5170a</f>
        <v>0</v>
      </c>
    </row>
    <row r="122" spans="1:15" ht="15" customHeight="1" outlineLevel="3" x14ac:dyDescent="0.25">
      <c r="A122" s="3" t="s">
        <v>250</v>
      </c>
      <c r="B122" s="3" t="s">
        <v>251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4">
        <f>СП_20270101_036681dbc84811f083a1005056b5170a + СП_20270201_036681dbc84811f083a1005056b5170a + СП_20270301_036681dbc84811f083a1005056b5170a + СП_20270401_036681dbc84811f083a1005056b5170a + СП_20270501_036681dbc84811f083a1005056b5170a + СП_20270601_036681dbc84811f083a1005056b5170a + СП_20270701_036681dbc84811f083a1005056b5170a + СП_20270801_036681dbc84811f083a1005056b5170a + СП_20270901_036681dbc84811f083a1005056b5170a + СП_20271001_036681dbc84811f083a1005056b5170a + СП_20271101_036681dbc84811f083a1005056b5170a + СП_20271201_036681dbc84811f083a1005056b5170a</f>
        <v>0</v>
      </c>
    </row>
    <row r="123" spans="1:15" ht="15" customHeight="1" outlineLevel="2" x14ac:dyDescent="0.25">
      <c r="A123" s="3" t="s">
        <v>252</v>
      </c>
      <c r="B123" s="3" t="s">
        <v>253</v>
      </c>
      <c r="C123" s="4">
        <f>СП_20270101_b414fc5ac85811f083a1005056b5170a + СП_20270101_ec74db8b1d5011f183c7005056b5170a + СП_20270101_f3d09913c85811f083a1005056b5170a + СП_20270101_b3b0d47f1d5011f183c7005056b5170a + СП_20270101_ffc1afcac85811f083a1005056b5170a + СП_20270101_0bb19101c85911f083a1005056b5170a</f>
        <v>0</v>
      </c>
      <c r="D123" s="4">
        <f>СП_20270201_b414fc5ac85811f083a1005056b5170a + СП_20270201_ec74db8b1d5011f183c7005056b5170a + СП_20270201_f3d09913c85811f083a1005056b5170a + СП_20270201_b3b0d47f1d5011f183c7005056b5170a + СП_20270201_ffc1afcac85811f083a1005056b5170a + СП_20270201_0bb19101c85911f083a1005056b5170a</f>
        <v>0</v>
      </c>
      <c r="E123" s="4">
        <f>СП_20270301_b414fc5ac85811f083a1005056b5170a + СП_20270301_ec74db8b1d5011f183c7005056b5170a + СП_20270301_f3d09913c85811f083a1005056b5170a + СП_20270301_b3b0d47f1d5011f183c7005056b5170a + СП_20270301_ffc1afcac85811f083a1005056b5170a + СП_20270301_0bb19101c85911f083a1005056b5170a</f>
        <v>0</v>
      </c>
      <c r="F123" s="4">
        <f>СП_20270401_b414fc5ac85811f083a1005056b5170a + СП_20270401_ec74db8b1d5011f183c7005056b5170a + СП_20270401_f3d09913c85811f083a1005056b5170a + СП_20270401_b3b0d47f1d5011f183c7005056b5170a + СП_20270401_ffc1afcac85811f083a1005056b5170a + СП_20270401_0bb19101c85911f083a1005056b5170a</f>
        <v>0</v>
      </c>
      <c r="G123" s="4">
        <f>СП_20270501_b414fc5ac85811f083a1005056b5170a + СП_20270501_ec74db8b1d5011f183c7005056b5170a + СП_20270501_f3d09913c85811f083a1005056b5170a + СП_20270501_b3b0d47f1d5011f183c7005056b5170a + СП_20270501_ffc1afcac85811f083a1005056b5170a + СП_20270501_0bb19101c85911f083a1005056b5170a</f>
        <v>0</v>
      </c>
      <c r="H123" s="4">
        <f>СП_20270601_b414fc5ac85811f083a1005056b5170a + СП_20270601_ec74db8b1d5011f183c7005056b5170a + СП_20270601_f3d09913c85811f083a1005056b5170a + СП_20270601_b3b0d47f1d5011f183c7005056b5170a + СП_20270601_ffc1afcac85811f083a1005056b5170a + СП_20270601_0bb19101c85911f083a1005056b5170a</f>
        <v>0</v>
      </c>
      <c r="I123" s="4">
        <f>СП_20270701_b414fc5ac85811f083a1005056b5170a + СП_20270701_ec74db8b1d5011f183c7005056b5170a + СП_20270701_f3d09913c85811f083a1005056b5170a + СП_20270701_b3b0d47f1d5011f183c7005056b5170a + СП_20270701_ffc1afcac85811f083a1005056b5170a + СП_20270701_0bb19101c85911f083a1005056b5170a</f>
        <v>0</v>
      </c>
      <c r="J123" s="4">
        <f>СП_20270801_b414fc5ac85811f083a1005056b5170a + СП_20270801_ec74db8b1d5011f183c7005056b5170a + СП_20270801_f3d09913c85811f083a1005056b5170a + СП_20270801_b3b0d47f1d5011f183c7005056b5170a + СП_20270801_ffc1afcac85811f083a1005056b5170a + СП_20270801_0bb19101c85911f083a1005056b5170a</f>
        <v>0</v>
      </c>
      <c r="K123" s="4">
        <f>СП_20270901_b414fc5ac85811f083a1005056b5170a + СП_20270901_ec74db8b1d5011f183c7005056b5170a + СП_20270901_f3d09913c85811f083a1005056b5170a + СП_20270901_b3b0d47f1d5011f183c7005056b5170a + СП_20270901_ffc1afcac85811f083a1005056b5170a + СП_20270901_0bb19101c85911f083a1005056b5170a</f>
        <v>0</v>
      </c>
      <c r="L123" s="4">
        <f>СП_20271001_b414fc5ac85811f083a1005056b5170a + СП_20271001_ec74db8b1d5011f183c7005056b5170a + СП_20271001_f3d09913c85811f083a1005056b5170a + СП_20271001_b3b0d47f1d5011f183c7005056b5170a + СП_20271001_ffc1afcac85811f083a1005056b5170a + СП_20271001_0bb19101c85911f083a1005056b5170a</f>
        <v>0</v>
      </c>
      <c r="M123" s="4">
        <f>СП_20271101_b414fc5ac85811f083a1005056b5170a + СП_20271101_ec74db8b1d5011f183c7005056b5170a + СП_20271101_f3d09913c85811f083a1005056b5170a + СП_20271101_b3b0d47f1d5011f183c7005056b5170a + СП_20271101_ffc1afcac85811f083a1005056b5170a + СП_20271101_0bb19101c85911f083a1005056b5170a</f>
        <v>0</v>
      </c>
      <c r="N123" s="4">
        <f>СП_20271201_b414fc5ac85811f083a1005056b5170a + СП_20271201_ec74db8b1d5011f183c7005056b5170a + СП_20271201_f3d09913c85811f083a1005056b5170a + СП_20271201_b3b0d47f1d5011f183c7005056b5170a + СП_20271201_ffc1afcac85811f083a1005056b5170a + СП_20271201_0bb19101c85911f083a1005056b5170a</f>
        <v>0</v>
      </c>
      <c r="O123" s="4">
        <f>СП_Итог_b414fc5ac85811f083a1005056b5170a + СП_Итог_ec74db8b1d5011f183c7005056b5170a + СП_Итог_f3d09913c85811f083a1005056b5170a + СП_Итог_b3b0d47f1d5011f183c7005056b5170a + СП_Итог_ffc1afcac85811f083a1005056b5170a + СП_Итог_0bb19101c85911f083a1005056b5170a</f>
        <v>0</v>
      </c>
    </row>
    <row r="124" spans="1:15" ht="15" customHeight="1" outlineLevel="3" x14ac:dyDescent="0.25">
      <c r="A124" s="3" t="s">
        <v>254</v>
      </c>
      <c r="B124" s="3" t="s">
        <v>255</v>
      </c>
      <c r="C124" s="5">
        <v>0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4">
        <f>СП_20270101_b414fc5ac85811f083a1005056b5170a + СП_20270201_b414fc5ac85811f083a1005056b5170a + СП_20270301_b414fc5ac85811f083a1005056b5170a + СП_20270401_b414fc5ac85811f083a1005056b5170a + СП_20270501_b414fc5ac85811f083a1005056b5170a + СП_20270601_b414fc5ac85811f083a1005056b5170a + СП_20270701_b414fc5ac85811f083a1005056b5170a + СП_20270801_b414fc5ac85811f083a1005056b5170a + СП_20270901_b414fc5ac85811f083a1005056b5170a + СП_20271001_b414fc5ac85811f083a1005056b5170a + СП_20271101_b414fc5ac85811f083a1005056b5170a + СП_20271201_b414fc5ac85811f083a1005056b5170a</f>
        <v>0</v>
      </c>
    </row>
    <row r="125" spans="1:15" ht="15" customHeight="1" outlineLevel="3" x14ac:dyDescent="0.25">
      <c r="A125" s="3" t="s">
        <v>256</v>
      </c>
      <c r="B125" s="3" t="s">
        <v>257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4">
        <f>СП_20270101_ec74db8b1d5011f183c7005056b5170a + СП_20270201_ec74db8b1d5011f183c7005056b5170a + СП_20270301_ec74db8b1d5011f183c7005056b5170a + СП_20270401_ec74db8b1d5011f183c7005056b5170a + СП_20270501_ec74db8b1d5011f183c7005056b5170a + СП_20270601_ec74db8b1d5011f183c7005056b5170a + СП_20270701_ec74db8b1d5011f183c7005056b5170a + СП_20270801_ec74db8b1d5011f183c7005056b5170a + СП_20270901_ec74db8b1d5011f183c7005056b5170a + СП_20271001_ec74db8b1d5011f183c7005056b5170a + СП_20271101_ec74db8b1d5011f183c7005056b5170a + СП_20271201_ec74db8b1d5011f183c7005056b5170a</f>
        <v>0</v>
      </c>
    </row>
    <row r="126" spans="1:15" ht="15" customHeight="1" outlineLevel="3" x14ac:dyDescent="0.25">
      <c r="A126" s="3" t="s">
        <v>258</v>
      </c>
      <c r="B126" s="3" t="s">
        <v>259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4">
        <f>СП_20270101_f3d09913c85811f083a1005056b5170a + СП_20270201_f3d09913c85811f083a1005056b5170a + СП_20270301_f3d09913c85811f083a1005056b5170a + СП_20270401_f3d09913c85811f083a1005056b5170a + СП_20270501_f3d09913c85811f083a1005056b5170a + СП_20270601_f3d09913c85811f083a1005056b5170a + СП_20270701_f3d09913c85811f083a1005056b5170a + СП_20270801_f3d09913c85811f083a1005056b5170a + СП_20270901_f3d09913c85811f083a1005056b5170a + СП_20271001_f3d09913c85811f083a1005056b5170a + СП_20271101_f3d09913c85811f083a1005056b5170a + СП_20271201_f3d09913c85811f083a1005056b5170a</f>
        <v>0</v>
      </c>
    </row>
    <row r="127" spans="1:15" ht="15" customHeight="1" outlineLevel="3" x14ac:dyDescent="0.25">
      <c r="A127" s="3" t="s">
        <v>260</v>
      </c>
      <c r="B127" s="3" t="s">
        <v>261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4">
        <f>СП_20270101_b3b0d47f1d5011f183c7005056b5170a + СП_20270201_b3b0d47f1d5011f183c7005056b5170a + СП_20270301_b3b0d47f1d5011f183c7005056b5170a + СП_20270401_b3b0d47f1d5011f183c7005056b5170a + СП_20270501_b3b0d47f1d5011f183c7005056b5170a + СП_20270601_b3b0d47f1d5011f183c7005056b5170a + СП_20270701_b3b0d47f1d5011f183c7005056b5170a + СП_20270801_b3b0d47f1d5011f183c7005056b5170a + СП_20270901_b3b0d47f1d5011f183c7005056b5170a + СП_20271001_b3b0d47f1d5011f183c7005056b5170a + СП_20271101_b3b0d47f1d5011f183c7005056b5170a + СП_20271201_b3b0d47f1d5011f183c7005056b5170a</f>
        <v>0</v>
      </c>
    </row>
    <row r="128" spans="1:15" ht="15" customHeight="1" outlineLevel="3" x14ac:dyDescent="0.25">
      <c r="A128" s="3" t="s">
        <v>262</v>
      </c>
      <c r="B128" s="3" t="s">
        <v>263</v>
      </c>
      <c r="C128" s="5">
        <v>0</v>
      </c>
      <c r="D128" s="5">
        <v>0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4">
        <f>СП_20270101_ffc1afcac85811f083a1005056b5170a + СП_20270201_ffc1afcac85811f083a1005056b5170a + СП_20270301_ffc1afcac85811f083a1005056b5170a + СП_20270401_ffc1afcac85811f083a1005056b5170a + СП_20270501_ffc1afcac85811f083a1005056b5170a + СП_20270601_ffc1afcac85811f083a1005056b5170a + СП_20270701_ffc1afcac85811f083a1005056b5170a + СП_20270801_ffc1afcac85811f083a1005056b5170a + СП_20270901_ffc1afcac85811f083a1005056b5170a + СП_20271001_ffc1afcac85811f083a1005056b5170a + СП_20271101_ffc1afcac85811f083a1005056b5170a + СП_20271201_ffc1afcac85811f083a1005056b5170a</f>
        <v>0</v>
      </c>
    </row>
    <row r="129" spans="1:15" ht="15" customHeight="1" outlineLevel="3" x14ac:dyDescent="0.25">
      <c r="A129" s="3" t="s">
        <v>264</v>
      </c>
      <c r="B129" s="3" t="s">
        <v>265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4">
        <f>СП_20270101_0bb19101c85911f083a1005056b5170a + СП_20270201_0bb19101c85911f083a1005056b5170a + СП_20270301_0bb19101c85911f083a1005056b5170a + СП_20270401_0bb19101c85911f083a1005056b5170a + СП_20270501_0bb19101c85911f083a1005056b5170a + СП_20270601_0bb19101c85911f083a1005056b5170a + СП_20270701_0bb19101c85911f083a1005056b5170a + СП_20270801_0bb19101c85911f083a1005056b5170a + СП_20270901_0bb19101c85911f083a1005056b5170a + СП_20271001_0bb19101c85911f083a1005056b5170a + СП_20271101_0bb19101c85911f083a1005056b5170a + СП_20271201_0bb19101c85911f083a1005056b5170a</f>
        <v>0</v>
      </c>
    </row>
    <row r="130" spans="1:15" ht="15" customHeight="1" outlineLevel="2" x14ac:dyDescent="0.25">
      <c r="A130" s="3" t="s">
        <v>266</v>
      </c>
      <c r="B130" s="3" t="s">
        <v>267</v>
      </c>
      <c r="C130" s="4">
        <f>СП_20270101_bf6525441d5111f183c7005056b5170a + СП_20270101_c4d393ccc85911f083a1005056b5170a + СП_20270101_de2933d4c85911f083a1005056b5170a + СП_20270101_d450ad9cc84311f083a1005056b5170a + СП_20270101_eaf11e23c85911f083a1005056b5170a + СП_20270101_f3f3b17d1d4911f183c7005056b5170a</f>
        <v>0</v>
      </c>
      <c r="D130" s="4">
        <f>СП_20270201_bf6525441d5111f183c7005056b5170a + СП_20270201_c4d393ccc85911f083a1005056b5170a + СП_20270201_de2933d4c85911f083a1005056b5170a + СП_20270201_d450ad9cc84311f083a1005056b5170a + СП_20270201_eaf11e23c85911f083a1005056b5170a + СП_20270201_f3f3b17d1d4911f183c7005056b5170a</f>
        <v>0</v>
      </c>
      <c r="E130" s="4">
        <f>СП_20270301_bf6525441d5111f183c7005056b5170a + СП_20270301_c4d393ccc85911f083a1005056b5170a + СП_20270301_de2933d4c85911f083a1005056b5170a + СП_20270301_d450ad9cc84311f083a1005056b5170a + СП_20270301_eaf11e23c85911f083a1005056b5170a + СП_20270301_f3f3b17d1d4911f183c7005056b5170a</f>
        <v>0</v>
      </c>
      <c r="F130" s="4">
        <f>СП_20270401_bf6525441d5111f183c7005056b5170a + СП_20270401_c4d393ccc85911f083a1005056b5170a + СП_20270401_de2933d4c85911f083a1005056b5170a + СП_20270401_d450ad9cc84311f083a1005056b5170a + СП_20270401_eaf11e23c85911f083a1005056b5170a + СП_20270401_f3f3b17d1d4911f183c7005056b5170a</f>
        <v>0</v>
      </c>
      <c r="G130" s="4">
        <f>СП_20270501_bf6525441d5111f183c7005056b5170a + СП_20270501_c4d393ccc85911f083a1005056b5170a + СП_20270501_de2933d4c85911f083a1005056b5170a + СП_20270501_d450ad9cc84311f083a1005056b5170a + СП_20270501_eaf11e23c85911f083a1005056b5170a + СП_20270501_f3f3b17d1d4911f183c7005056b5170a</f>
        <v>0</v>
      </c>
      <c r="H130" s="4">
        <f>СП_20270601_bf6525441d5111f183c7005056b5170a + СП_20270601_c4d393ccc85911f083a1005056b5170a + СП_20270601_de2933d4c85911f083a1005056b5170a + СП_20270601_d450ad9cc84311f083a1005056b5170a + СП_20270601_eaf11e23c85911f083a1005056b5170a + СП_20270601_f3f3b17d1d4911f183c7005056b5170a</f>
        <v>0</v>
      </c>
      <c r="I130" s="4">
        <f>СП_20270701_bf6525441d5111f183c7005056b5170a + СП_20270701_c4d393ccc85911f083a1005056b5170a + СП_20270701_de2933d4c85911f083a1005056b5170a + СП_20270701_d450ad9cc84311f083a1005056b5170a + СП_20270701_eaf11e23c85911f083a1005056b5170a + СП_20270701_f3f3b17d1d4911f183c7005056b5170a</f>
        <v>0</v>
      </c>
      <c r="J130" s="4">
        <f>СП_20270801_bf6525441d5111f183c7005056b5170a + СП_20270801_c4d393ccc85911f083a1005056b5170a + СП_20270801_de2933d4c85911f083a1005056b5170a + СП_20270801_d450ad9cc84311f083a1005056b5170a + СП_20270801_eaf11e23c85911f083a1005056b5170a + СП_20270801_f3f3b17d1d4911f183c7005056b5170a</f>
        <v>0</v>
      </c>
      <c r="K130" s="4">
        <f>СП_20270901_bf6525441d5111f183c7005056b5170a + СП_20270901_c4d393ccc85911f083a1005056b5170a + СП_20270901_de2933d4c85911f083a1005056b5170a + СП_20270901_d450ad9cc84311f083a1005056b5170a + СП_20270901_eaf11e23c85911f083a1005056b5170a + СП_20270901_f3f3b17d1d4911f183c7005056b5170a</f>
        <v>0</v>
      </c>
      <c r="L130" s="4">
        <f>СП_20271001_bf6525441d5111f183c7005056b5170a + СП_20271001_c4d393ccc85911f083a1005056b5170a + СП_20271001_de2933d4c85911f083a1005056b5170a + СП_20271001_d450ad9cc84311f083a1005056b5170a + СП_20271001_eaf11e23c85911f083a1005056b5170a + СП_20271001_f3f3b17d1d4911f183c7005056b5170a</f>
        <v>0</v>
      </c>
      <c r="M130" s="4">
        <f>СП_20271101_bf6525441d5111f183c7005056b5170a + СП_20271101_c4d393ccc85911f083a1005056b5170a + СП_20271101_de2933d4c85911f083a1005056b5170a + СП_20271101_d450ad9cc84311f083a1005056b5170a + СП_20271101_eaf11e23c85911f083a1005056b5170a + СП_20271101_f3f3b17d1d4911f183c7005056b5170a</f>
        <v>0</v>
      </c>
      <c r="N130" s="4">
        <f>СП_20271201_bf6525441d5111f183c7005056b5170a + СП_20271201_c4d393ccc85911f083a1005056b5170a + СП_20271201_de2933d4c85911f083a1005056b5170a + СП_20271201_d450ad9cc84311f083a1005056b5170a + СП_20271201_eaf11e23c85911f083a1005056b5170a + СП_20271201_f3f3b17d1d4911f183c7005056b5170a</f>
        <v>0</v>
      </c>
      <c r="O130" s="4">
        <f>СП_Итог_bf6525441d5111f183c7005056b5170a + СП_Итог_c4d393ccc85911f083a1005056b5170a + СП_Итог_de2933d4c85911f083a1005056b5170a + СП_Итог_d450ad9cc84311f083a1005056b5170a + СП_Итог_eaf11e23c85911f083a1005056b5170a + СП_Итог_f3f3b17d1d4911f183c7005056b5170a</f>
        <v>0</v>
      </c>
    </row>
    <row r="131" spans="1:15" ht="15" customHeight="1" outlineLevel="3" x14ac:dyDescent="0.25">
      <c r="A131" s="3" t="s">
        <v>268</v>
      </c>
      <c r="B131" s="3" t="s">
        <v>269</v>
      </c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4">
        <f>СП_20270101_bf6525441d5111f183c7005056b5170a + СП_20270201_bf6525441d5111f183c7005056b5170a + СП_20270301_bf6525441d5111f183c7005056b5170a + СП_20270401_bf6525441d5111f183c7005056b5170a + СП_20270501_bf6525441d5111f183c7005056b5170a + СП_20270601_bf6525441d5111f183c7005056b5170a + СП_20270701_bf6525441d5111f183c7005056b5170a + СП_20270801_bf6525441d5111f183c7005056b5170a + СП_20270901_bf6525441d5111f183c7005056b5170a + СП_20271001_bf6525441d5111f183c7005056b5170a + СП_20271101_bf6525441d5111f183c7005056b5170a + СП_20271201_bf6525441d5111f183c7005056b5170a</f>
        <v>0</v>
      </c>
    </row>
    <row r="132" spans="1:15" ht="15" customHeight="1" outlineLevel="3" x14ac:dyDescent="0.25">
      <c r="A132" s="3" t="s">
        <v>270</v>
      </c>
      <c r="B132" s="3" t="s">
        <v>271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4">
        <f>СП_20270101_c4d393ccc85911f083a1005056b5170a + СП_20270201_c4d393ccc85911f083a1005056b5170a + СП_20270301_c4d393ccc85911f083a1005056b5170a + СП_20270401_c4d393ccc85911f083a1005056b5170a + СП_20270501_c4d393ccc85911f083a1005056b5170a + СП_20270601_c4d393ccc85911f083a1005056b5170a + СП_20270701_c4d393ccc85911f083a1005056b5170a + СП_20270801_c4d393ccc85911f083a1005056b5170a + СП_20270901_c4d393ccc85911f083a1005056b5170a + СП_20271001_c4d393ccc85911f083a1005056b5170a + СП_20271101_c4d393ccc85911f083a1005056b5170a + СП_20271201_c4d393ccc85911f083a1005056b5170a</f>
        <v>0</v>
      </c>
    </row>
    <row r="133" spans="1:15" ht="15" customHeight="1" outlineLevel="3" x14ac:dyDescent="0.25">
      <c r="A133" s="3" t="s">
        <v>272</v>
      </c>
      <c r="B133" s="3" t="s">
        <v>273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4">
        <f>СП_20270101_de2933d4c85911f083a1005056b5170a + СП_20270201_de2933d4c85911f083a1005056b5170a + СП_20270301_de2933d4c85911f083a1005056b5170a + СП_20270401_de2933d4c85911f083a1005056b5170a + СП_20270501_de2933d4c85911f083a1005056b5170a + СП_20270601_de2933d4c85911f083a1005056b5170a + СП_20270701_de2933d4c85911f083a1005056b5170a + СП_20270801_de2933d4c85911f083a1005056b5170a + СП_20270901_de2933d4c85911f083a1005056b5170a + СП_20271001_de2933d4c85911f083a1005056b5170a + СП_20271101_de2933d4c85911f083a1005056b5170a + СП_20271201_de2933d4c85911f083a1005056b5170a</f>
        <v>0</v>
      </c>
    </row>
    <row r="134" spans="1:15" ht="15" customHeight="1" outlineLevel="3" x14ac:dyDescent="0.25">
      <c r="A134" s="3" t="s">
        <v>274</v>
      </c>
      <c r="B134" s="3" t="s">
        <v>275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4">
        <f>СП_20270101_d450ad9cc84311f083a1005056b5170a + СП_20270201_d450ad9cc84311f083a1005056b5170a + СП_20270301_d450ad9cc84311f083a1005056b5170a + СП_20270401_d450ad9cc84311f083a1005056b5170a + СП_20270501_d450ad9cc84311f083a1005056b5170a + СП_20270601_d450ad9cc84311f083a1005056b5170a + СП_20270701_d450ad9cc84311f083a1005056b5170a + СП_20270801_d450ad9cc84311f083a1005056b5170a + СП_20270901_d450ad9cc84311f083a1005056b5170a + СП_20271001_d450ad9cc84311f083a1005056b5170a + СП_20271101_d450ad9cc84311f083a1005056b5170a + СП_20271201_d450ad9cc84311f083a1005056b5170a</f>
        <v>0</v>
      </c>
    </row>
    <row r="135" spans="1:15" ht="15" customHeight="1" outlineLevel="3" x14ac:dyDescent="0.25">
      <c r="A135" s="3" t="s">
        <v>276</v>
      </c>
      <c r="B135" s="3" t="s">
        <v>277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4">
        <f>СП_20270101_eaf11e23c85911f083a1005056b5170a + СП_20270201_eaf11e23c85911f083a1005056b5170a + СП_20270301_eaf11e23c85911f083a1005056b5170a + СП_20270401_eaf11e23c85911f083a1005056b5170a + СП_20270501_eaf11e23c85911f083a1005056b5170a + СП_20270601_eaf11e23c85911f083a1005056b5170a + СП_20270701_eaf11e23c85911f083a1005056b5170a + СП_20270801_eaf11e23c85911f083a1005056b5170a + СП_20270901_eaf11e23c85911f083a1005056b5170a + СП_20271001_eaf11e23c85911f083a1005056b5170a + СП_20271101_eaf11e23c85911f083a1005056b5170a + СП_20271201_eaf11e23c85911f083a1005056b5170a</f>
        <v>0</v>
      </c>
    </row>
    <row r="136" spans="1:15" ht="15" customHeight="1" outlineLevel="3" x14ac:dyDescent="0.25">
      <c r="A136" s="3" t="s">
        <v>278</v>
      </c>
      <c r="B136" s="3" t="s">
        <v>279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4">
        <f>СП_20270101_f3f3b17d1d4911f183c7005056b5170a + СП_20270201_f3f3b17d1d4911f183c7005056b5170a + СП_20270301_f3f3b17d1d4911f183c7005056b5170a + СП_20270401_f3f3b17d1d4911f183c7005056b5170a + СП_20270501_f3f3b17d1d4911f183c7005056b5170a + СП_20270601_f3f3b17d1d4911f183c7005056b5170a + СП_20270701_f3f3b17d1d4911f183c7005056b5170a + СП_20270801_f3f3b17d1d4911f183c7005056b5170a + СП_20270901_f3f3b17d1d4911f183c7005056b5170a + СП_20271001_f3f3b17d1d4911f183c7005056b5170a + СП_20271101_f3f3b17d1d4911f183c7005056b5170a + СП_20271201_f3f3b17d1d4911f183c7005056b5170a</f>
        <v>0</v>
      </c>
    </row>
    <row r="137" spans="1:15" ht="15" customHeight="1" outlineLevel="2" x14ac:dyDescent="0.25">
      <c r="A137" s="3" t="s">
        <v>280</v>
      </c>
      <c r="B137" s="3" t="s">
        <v>281</v>
      </c>
      <c r="C137" s="4">
        <f>СП_20270101_33d4cd4f213211f183c7005056b5170a + СП_20270101_483ec6637b9911f18638005056b5e863 + СП_20270101_4613411b213211f183c7005056b5170a</f>
        <v>0</v>
      </c>
      <c r="D137" s="4">
        <f>СП_20270201_33d4cd4f213211f183c7005056b5170a + СП_20270201_483ec6637b9911f18638005056b5e863 + СП_20270201_4613411b213211f183c7005056b5170a</f>
        <v>0</v>
      </c>
      <c r="E137" s="4">
        <f>СП_20270301_33d4cd4f213211f183c7005056b5170a + СП_20270301_483ec6637b9911f18638005056b5e863 + СП_20270301_4613411b213211f183c7005056b5170a</f>
        <v>0</v>
      </c>
      <c r="F137" s="4">
        <f>СП_20270401_33d4cd4f213211f183c7005056b5170a + СП_20270401_483ec6637b9911f18638005056b5e863 + СП_20270401_4613411b213211f183c7005056b5170a</f>
        <v>0</v>
      </c>
      <c r="G137" s="4">
        <f>СП_20270501_33d4cd4f213211f183c7005056b5170a + СП_20270501_483ec6637b9911f18638005056b5e863 + СП_20270501_4613411b213211f183c7005056b5170a</f>
        <v>0</v>
      </c>
      <c r="H137" s="4">
        <f>СП_20270601_33d4cd4f213211f183c7005056b5170a + СП_20270601_483ec6637b9911f18638005056b5e863 + СП_20270601_4613411b213211f183c7005056b5170a</f>
        <v>0</v>
      </c>
      <c r="I137" s="4">
        <f>СП_20270701_33d4cd4f213211f183c7005056b5170a + СП_20270701_483ec6637b9911f18638005056b5e863 + СП_20270701_4613411b213211f183c7005056b5170a</f>
        <v>0</v>
      </c>
      <c r="J137" s="4">
        <f>СП_20270801_33d4cd4f213211f183c7005056b5170a + СП_20270801_483ec6637b9911f18638005056b5e863 + СП_20270801_4613411b213211f183c7005056b5170a</f>
        <v>0</v>
      </c>
      <c r="K137" s="4">
        <f>СП_20270901_33d4cd4f213211f183c7005056b5170a + СП_20270901_483ec6637b9911f18638005056b5e863 + СП_20270901_4613411b213211f183c7005056b5170a</f>
        <v>0</v>
      </c>
      <c r="L137" s="4">
        <f>СП_20271001_33d4cd4f213211f183c7005056b5170a + СП_20271001_483ec6637b9911f18638005056b5e863 + СП_20271001_4613411b213211f183c7005056b5170a</f>
        <v>0</v>
      </c>
      <c r="M137" s="4">
        <f>СП_20271101_33d4cd4f213211f183c7005056b5170a + СП_20271101_483ec6637b9911f18638005056b5e863 + СП_20271101_4613411b213211f183c7005056b5170a</f>
        <v>0</v>
      </c>
      <c r="N137" s="4">
        <f>СП_20271201_33d4cd4f213211f183c7005056b5170a + СП_20271201_483ec6637b9911f18638005056b5e863 + СП_20271201_4613411b213211f183c7005056b5170a</f>
        <v>0</v>
      </c>
      <c r="O137" s="4">
        <f>СП_Итог_33d4cd4f213211f183c7005056b5170a + СП_Итог_483ec6637b9911f18638005056b5e863 + СП_Итог_4613411b213211f183c7005056b5170a</f>
        <v>0</v>
      </c>
    </row>
    <row r="138" spans="1:15" ht="15" customHeight="1" outlineLevel="3" x14ac:dyDescent="0.25">
      <c r="A138" s="3" t="s">
        <v>282</v>
      </c>
      <c r="B138" s="3" t="s">
        <v>283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4">
        <f>СП_20270101_33d4cd4f213211f183c7005056b5170a + СП_20270201_33d4cd4f213211f183c7005056b5170a + СП_20270301_33d4cd4f213211f183c7005056b5170a + СП_20270401_33d4cd4f213211f183c7005056b5170a + СП_20270501_33d4cd4f213211f183c7005056b5170a + СП_20270601_33d4cd4f213211f183c7005056b5170a + СП_20270701_33d4cd4f213211f183c7005056b5170a + СП_20270801_33d4cd4f213211f183c7005056b5170a + СП_20270901_33d4cd4f213211f183c7005056b5170a + СП_20271001_33d4cd4f213211f183c7005056b5170a + СП_20271101_33d4cd4f213211f183c7005056b5170a + СП_20271201_33d4cd4f213211f183c7005056b5170a</f>
        <v>0</v>
      </c>
    </row>
    <row r="139" spans="1:15" ht="15" customHeight="1" outlineLevel="3" x14ac:dyDescent="0.25">
      <c r="A139" s="3" t="s">
        <v>284</v>
      </c>
      <c r="B139" s="3" t="s">
        <v>285</v>
      </c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4">
        <f>СП_20270101_483ec6637b9911f18638005056b5e863 + СП_20270201_483ec6637b9911f18638005056b5e863 + СП_20270301_483ec6637b9911f18638005056b5e863 + СП_20270401_483ec6637b9911f18638005056b5e863 + СП_20270501_483ec6637b9911f18638005056b5e863 + СП_20270601_483ec6637b9911f18638005056b5e863 + СП_20270701_483ec6637b9911f18638005056b5e863 + СП_20270801_483ec6637b9911f18638005056b5e863 + СП_20270901_483ec6637b9911f18638005056b5e863 + СП_20271001_483ec6637b9911f18638005056b5e863 + СП_20271101_483ec6637b9911f18638005056b5e863 + СП_20271201_483ec6637b9911f18638005056b5e863</f>
        <v>0</v>
      </c>
    </row>
    <row r="140" spans="1:15" ht="15" customHeight="1" outlineLevel="3" x14ac:dyDescent="0.25">
      <c r="A140" s="3" t="s">
        <v>286</v>
      </c>
      <c r="B140" s="3" t="s">
        <v>287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4">
        <f>СП_20270101_4613411b213211f183c7005056b5170a + СП_20270201_4613411b213211f183c7005056b5170a + СП_20270301_4613411b213211f183c7005056b5170a + СП_20270401_4613411b213211f183c7005056b5170a + СП_20270501_4613411b213211f183c7005056b5170a + СП_20270601_4613411b213211f183c7005056b5170a + СП_20270701_4613411b213211f183c7005056b5170a + СП_20270801_4613411b213211f183c7005056b5170a + СП_20270901_4613411b213211f183c7005056b5170a + СП_20271001_4613411b213211f183c7005056b5170a + СП_20271101_4613411b213211f183c7005056b5170a + СП_20271201_4613411b213211f183c7005056b5170a</f>
        <v>0</v>
      </c>
    </row>
    <row r="141" spans="1:15" ht="15" customHeight="1" outlineLevel="2" x14ac:dyDescent="0.25">
      <c r="A141" s="3" t="s">
        <v>288</v>
      </c>
      <c r="B141" s="3" t="s">
        <v>289</v>
      </c>
      <c r="C141" s="4">
        <f>СП_20270101_77e5b212695b11f18638005056b5e863 + СП_20270101_953ba8c5695b11f18638005056b5e863</f>
        <v>0</v>
      </c>
      <c r="D141" s="4">
        <f>СП_20270201_77e5b212695b11f18638005056b5e863 + СП_20270201_953ba8c5695b11f18638005056b5e863</f>
        <v>0</v>
      </c>
      <c r="E141" s="4">
        <f>СП_20270301_77e5b212695b11f18638005056b5e863 + СП_20270301_953ba8c5695b11f18638005056b5e863</f>
        <v>0</v>
      </c>
      <c r="F141" s="4">
        <f>СП_20270401_77e5b212695b11f18638005056b5e863 + СП_20270401_953ba8c5695b11f18638005056b5e863</f>
        <v>0</v>
      </c>
      <c r="G141" s="4">
        <f>СП_20270501_77e5b212695b11f18638005056b5e863 + СП_20270501_953ba8c5695b11f18638005056b5e863</f>
        <v>0</v>
      </c>
      <c r="H141" s="4">
        <f>СП_20270601_77e5b212695b11f18638005056b5e863 + СП_20270601_953ba8c5695b11f18638005056b5e863</f>
        <v>0</v>
      </c>
      <c r="I141" s="4">
        <f>СП_20270701_77e5b212695b11f18638005056b5e863 + СП_20270701_953ba8c5695b11f18638005056b5e863</f>
        <v>0</v>
      </c>
      <c r="J141" s="4">
        <f>СП_20270801_77e5b212695b11f18638005056b5e863 + СП_20270801_953ba8c5695b11f18638005056b5e863</f>
        <v>0</v>
      </c>
      <c r="K141" s="4">
        <f>СП_20270901_77e5b212695b11f18638005056b5e863 + СП_20270901_953ba8c5695b11f18638005056b5e863</f>
        <v>0</v>
      </c>
      <c r="L141" s="4">
        <f>СП_20271001_77e5b212695b11f18638005056b5e863 + СП_20271001_953ba8c5695b11f18638005056b5e863</f>
        <v>0</v>
      </c>
      <c r="M141" s="4">
        <f>СП_20271101_77e5b212695b11f18638005056b5e863 + СП_20271101_953ba8c5695b11f18638005056b5e863</f>
        <v>0</v>
      </c>
      <c r="N141" s="4">
        <f>СП_20271201_77e5b212695b11f18638005056b5e863 + СП_20271201_953ba8c5695b11f18638005056b5e863</f>
        <v>0</v>
      </c>
      <c r="O141" s="4">
        <f>СП_Итог_77e5b212695b11f18638005056b5e863 + СП_Итог_953ba8c5695b11f18638005056b5e863</f>
        <v>0</v>
      </c>
    </row>
    <row r="142" spans="1:15" ht="15" customHeight="1" outlineLevel="3" x14ac:dyDescent="0.25">
      <c r="A142" s="3" t="s">
        <v>290</v>
      </c>
      <c r="B142" s="3" t="s">
        <v>291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4">
        <f>СП_20270101_77e5b212695b11f18638005056b5e863 + СП_20270201_77e5b212695b11f18638005056b5e863 + СП_20270301_77e5b212695b11f18638005056b5e863 + СП_20270401_77e5b212695b11f18638005056b5e863 + СП_20270501_77e5b212695b11f18638005056b5e863 + СП_20270601_77e5b212695b11f18638005056b5e863 + СП_20270701_77e5b212695b11f18638005056b5e863 + СП_20270801_77e5b212695b11f18638005056b5e863 + СП_20270901_77e5b212695b11f18638005056b5e863 + СП_20271001_77e5b212695b11f18638005056b5e863 + СП_20271101_77e5b212695b11f18638005056b5e863 + СП_20271201_77e5b212695b11f18638005056b5e863</f>
        <v>0</v>
      </c>
    </row>
    <row r="143" spans="1:15" ht="15" customHeight="1" outlineLevel="3" x14ac:dyDescent="0.25">
      <c r="A143" s="3" t="s">
        <v>292</v>
      </c>
      <c r="B143" s="3" t="s">
        <v>293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4">
        <f>СП_20270101_953ba8c5695b11f18638005056b5e863 + СП_20270201_953ba8c5695b11f18638005056b5e863 + СП_20270301_953ba8c5695b11f18638005056b5e863 + СП_20270401_953ba8c5695b11f18638005056b5e863 + СП_20270501_953ba8c5695b11f18638005056b5e863 + СП_20270601_953ba8c5695b11f18638005056b5e863 + СП_20270701_953ba8c5695b11f18638005056b5e863 + СП_20270801_953ba8c5695b11f18638005056b5e863 + СП_20270901_953ba8c5695b11f18638005056b5e863 + СП_20271001_953ba8c5695b11f18638005056b5e863 + СП_20271101_953ba8c5695b11f18638005056b5e863 + СП_20271201_953ba8c5695b11f18638005056b5e863</f>
        <v>0</v>
      </c>
    </row>
  </sheetData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1959</vt:i4>
      </vt:variant>
    </vt:vector>
  </HeadingPairs>
  <TitlesOfParts>
    <vt:vector size="1961" baseType="lpstr">
      <vt:lpstr>Данные бюджета</vt:lpstr>
      <vt:lpstr>Лист1</vt:lpstr>
      <vt:lpstr>Период_1</vt:lpstr>
      <vt:lpstr>Период_10</vt:lpstr>
      <vt:lpstr>Период_11</vt:lpstr>
      <vt:lpstr>Период_12</vt:lpstr>
      <vt:lpstr>Период_13</vt:lpstr>
      <vt:lpstr>Период_2</vt:lpstr>
      <vt:lpstr>Период_3</vt:lpstr>
      <vt:lpstr>Период_4</vt:lpstr>
      <vt:lpstr>Период_5</vt:lpstr>
      <vt:lpstr>Период_6</vt:lpstr>
      <vt:lpstr>Период_7</vt:lpstr>
      <vt:lpstr>Период_8</vt:lpstr>
      <vt:lpstr>Период_9</vt:lpstr>
      <vt:lpstr>СП_20270101_018a9487c7b411f083a1005056b5170a</vt:lpstr>
      <vt:lpstr>СП_20270101_036681dbc84811f083a1005056b5170a</vt:lpstr>
      <vt:lpstr>СП_20270101_03e74c0fc7d911f083a1005056b5170a</vt:lpstr>
      <vt:lpstr>СП_20270101_05104b79c7a811f083a1005056b5170a</vt:lpstr>
      <vt:lpstr>СП_20270101_0bb19101c85911f083a1005056b5170a</vt:lpstr>
      <vt:lpstr>СП_20270101_0db71d62c84611f083a1005056b5170a</vt:lpstr>
      <vt:lpstr>СП_20270101_1421d8301d4811f183c7005056b5170a</vt:lpstr>
      <vt:lpstr>СП_20270101_163680a8c7d611f083a1005056b5170a</vt:lpstr>
      <vt:lpstr>СП_20270101_16fb1a53c7a811f083a1005056b5170a</vt:lpstr>
      <vt:lpstr>СП_20270101_184a45cfc7d711f083a1005056b5170a</vt:lpstr>
      <vt:lpstr>СП_20270101_196bb604c7b411f083a1005056b5170a</vt:lpstr>
      <vt:lpstr>СП_20270101_1a614068928811ee8376005056a1be4c</vt:lpstr>
      <vt:lpstr>СП_20270101_1a684706c84611f083a1005056b5170a</vt:lpstr>
      <vt:lpstr>СП_20270101_1daed84fc7b511f083a1005056b5170a</vt:lpstr>
      <vt:lpstr>СП_20270101_22a01918c7aa11f083a1005056b5170a</vt:lpstr>
      <vt:lpstr>СП_20270101_25fb3b91c7d611f083a1005056b5170a</vt:lpstr>
      <vt:lpstr>СП_20270101_271acd8d928811ee8376005056a1be4c</vt:lpstr>
      <vt:lpstr>СП_20270101_28c78a1ec7d711f083a1005056b5170a</vt:lpstr>
      <vt:lpstr>СП_20270101_2f74b944c7d811f083a1005056b5170a</vt:lpstr>
      <vt:lpstr>СП_20270101_31632d0cc7d611f083a1005056b5170a</vt:lpstr>
      <vt:lpstr>СП_20270101_33d4cd4f213211f183c7005056b5170a</vt:lpstr>
      <vt:lpstr>СП_20270101_34aab0c2990f11ef8384005056b5170a</vt:lpstr>
      <vt:lpstr>СП_20270101_355043d4c7d711f083a1005056b5170a</vt:lpstr>
      <vt:lpstr>СП_20270101_389f4057c7cb11f083a1005056b5170a</vt:lpstr>
      <vt:lpstr>СП_20270101_3a95d75e928a11ee8376005056a1be4c</vt:lpstr>
      <vt:lpstr>СП_20270101_3bd8087fc7d611f083a1005056b5170a</vt:lpstr>
      <vt:lpstr>СП_20270101_3c712981dfb011e982ef005056a1be4c</vt:lpstr>
      <vt:lpstr>СП_20270101_3f2ff9d6a5b011ef8384005056b5170a</vt:lpstr>
      <vt:lpstr>СП_20270101_445c2761c7b511f083a1005056b5170a</vt:lpstr>
      <vt:lpstr>СП_20270101_4613411b213211f183c7005056b5170a</vt:lpstr>
      <vt:lpstr>СП_20270101_46829e96c7d711f083a1005056b5170a</vt:lpstr>
      <vt:lpstr>СП_20270101_477830aa94da11ee8376005056a1be4c</vt:lpstr>
      <vt:lpstr>СП_20270101_483ec6637b9911f18638005056b5e863</vt:lpstr>
      <vt:lpstr>СП_20270101_49fa47b0c7d611f083a1005056b5170a</vt:lpstr>
      <vt:lpstr>СП_20270101_55eb4f8fc7d611f083a1005056b5170a</vt:lpstr>
      <vt:lpstr>СП_20270101_584645171d5511f183c7005056b5170a</vt:lpstr>
      <vt:lpstr>СП_20270101_5b33182ac7b611f083a1005056b5170a</vt:lpstr>
      <vt:lpstr>СП_20270101_5e534b9ac7aa11f083a1005056b5170a</vt:lpstr>
      <vt:lpstr>СП_20270101_6244c5e8c84711f083a1005056b5170a</vt:lpstr>
      <vt:lpstr>СП_20270101_6277513ac7b711f083a1005056b5170a</vt:lpstr>
      <vt:lpstr>СП_20270101_63f6fb3ae48911f083a6005056b5170a</vt:lpstr>
      <vt:lpstr>СП_20270101_6dcdcaa9c7d611f083a1005056b5170a</vt:lpstr>
      <vt:lpstr>СП_20270101_6ec5bd18c7aa11f083a1005056b5170a</vt:lpstr>
      <vt:lpstr>СП_20270101_74e570081d4811f183c7005056b5170a</vt:lpstr>
      <vt:lpstr>СП_20270101_77e5b212695b11f18638005056b5e863</vt:lpstr>
      <vt:lpstr>СП_20270101_7c5e7d4fc7aa11f083a1005056b5170a</vt:lpstr>
      <vt:lpstr>СП_20270101_806711dd1d5511f183c7005056b5170a</vt:lpstr>
      <vt:lpstr>СП_20270101_85aa1e2d1d4f11f183c7005056b5170a</vt:lpstr>
      <vt:lpstr>СП_20270101_8e478e15c7aa11f083a1005056b5170a</vt:lpstr>
      <vt:lpstr>СП_20270101_9205e61ac7a011f083a1005056b5170a</vt:lpstr>
      <vt:lpstr>СП_20270101_93e92e58c94711f083a3005056b5170a</vt:lpstr>
      <vt:lpstr>СП_20270101_953ba8c5695b11f18638005056b5e863</vt:lpstr>
      <vt:lpstr>СП_20270101_9de962cac84711f083a1005056b5170a</vt:lpstr>
      <vt:lpstr>СП_20270101_9e642f621d4f11f183c7005056b5170a</vt:lpstr>
      <vt:lpstr>СП_20270101_a477ec4f545211f183c8005056b5170a</vt:lpstr>
      <vt:lpstr>СП_20270101_aa40973a1d4a11f183c7005056b5170a</vt:lpstr>
      <vt:lpstr>СП_20270101_ab1ef3c9c7cc11f083a1005056b5170a</vt:lpstr>
      <vt:lpstr>СП_20270101_ab6bfd2cc7d811f083a1005056b5170a</vt:lpstr>
      <vt:lpstr>СП_20270101_b1def38f1d5511f183c7005056b5170a</vt:lpstr>
      <vt:lpstr>СП_20270101_b3b0d47f1d5011f183c7005056b5170a</vt:lpstr>
      <vt:lpstr>СП_20270101_b414fc5ac85811f083a1005056b5170a</vt:lpstr>
      <vt:lpstr>СП_20270101_b438366e4cd911e680db005056a1088b</vt:lpstr>
      <vt:lpstr>СП_20270101_b4431256c7a611f083a1005056b5170a</vt:lpstr>
      <vt:lpstr>СП_20270101_bc7a7d01c7d811f083a1005056b5170a</vt:lpstr>
      <vt:lpstr>СП_20270101_be8eb25fc7cc11f083a1005056b5170a</vt:lpstr>
      <vt:lpstr>СП_20270101_bf6525441d5111f183c7005056b5170a</vt:lpstr>
      <vt:lpstr>СП_20270101_c0422569c7d611f083a1005056b5170a</vt:lpstr>
      <vt:lpstr>СП_20270101_c4d393ccc85911f083a1005056b5170a</vt:lpstr>
      <vt:lpstr>СП_20270101_c64e660926bd11f183c7005056b5170a</vt:lpstr>
      <vt:lpstr>СП_20270101_c7add6cc6a4811e4805ad4ae526f013e</vt:lpstr>
      <vt:lpstr>СП_20270101_c7add6cd6a4811e4805ad4ae526f013e</vt:lpstr>
      <vt:lpstr>СП_20270101_c7add6d06a4811e4805ad4ae526f013e</vt:lpstr>
      <vt:lpstr>СП_20270101_c7add6d26a4811e4805ad4ae526f013e</vt:lpstr>
      <vt:lpstr>СП_20270101_c7add6d36a4811e4805ad4ae526f013e</vt:lpstr>
      <vt:lpstr>СП_20270101_c7add6d46a4811e4805ad4ae526f013e</vt:lpstr>
      <vt:lpstr>СП_20270101_c7add6d76a4811e4805ad4ae526f013e</vt:lpstr>
      <vt:lpstr>СП_20270101_c7add6ea6a4811e4805ad4ae526f013e</vt:lpstr>
      <vt:lpstr>СП_20270101_c7add6ed6a4811e4805ad4ae526f013e</vt:lpstr>
      <vt:lpstr>СП_20270101_c7add6f66a4811e4805ad4ae526f013e</vt:lpstr>
      <vt:lpstr>СП_20270101_c7add6f76a4811e4805ad4ae526f013e</vt:lpstr>
      <vt:lpstr>СП_20270101_c7add6ff6a4811e4805ad4ae526f013e</vt:lpstr>
      <vt:lpstr>СП_20270101_c7add7016a4811e4805ad4ae526f013e</vt:lpstr>
      <vt:lpstr>СП_20270101_c7add7026a4811e4805ad4ae526f013e</vt:lpstr>
      <vt:lpstr>СП_20270101_c7add7046a4811e4805ad4ae526f013e</vt:lpstr>
      <vt:lpstr>СП_20270101_c7add7056a4811e4805ad4ae526f013e</vt:lpstr>
      <vt:lpstr>СП_20270101_c7add7066a4811e4805ad4ae526f013e</vt:lpstr>
      <vt:lpstr>СП_20270101_c7add7076a4811e4805ad4ae526f013e</vt:lpstr>
      <vt:lpstr>СП_20270101_c7add7266a4811e4805ad4ae526f013e</vt:lpstr>
      <vt:lpstr>СП_20270101_cc91985fc7d811f083a1005056b5170a</vt:lpstr>
      <vt:lpstr>СП_20270101_ccbf0ec5c7cc11f083a1005056b5170a</vt:lpstr>
      <vt:lpstr>СП_20270101_ce12a12494db11ee8376005056a1be4c</vt:lpstr>
      <vt:lpstr>СП_20270101_d0ff26e8c84511f083a1005056b5170a</vt:lpstr>
      <vt:lpstr>СП_20270101_d1196183c7d611f083a1005056b5170a</vt:lpstr>
      <vt:lpstr>СП_20270101_d450ad9cc84311f083a1005056b5170a</vt:lpstr>
      <vt:lpstr>СП_20270101_d56e8e951d4911f183c7005056b5170a</vt:lpstr>
      <vt:lpstr>СП_20270101_d9a415b3c7d611f083a1005056b5170a</vt:lpstr>
      <vt:lpstr>СП_20270101_dc23c215c7d511f083a1005056b5170a</vt:lpstr>
      <vt:lpstr>СП_20270101_de2933d4c85911f083a1005056b5170a</vt:lpstr>
      <vt:lpstr>СП_20270101_e0d93d37c7cc11f083a1005056b5170a</vt:lpstr>
      <vt:lpstr>СП_20270101_e21f8f63c7d711f083a1005056b5170a</vt:lpstr>
      <vt:lpstr>СП_20270101_e47771ec94dc11ee8376005056a1be4c</vt:lpstr>
      <vt:lpstr>СП_20270101_e5e5c84ec7d811f083a1005056b5170a</vt:lpstr>
      <vt:lpstr>СП_20270101_e7dd9c1c94db11ee8376005056a1be4c</vt:lpstr>
      <vt:lpstr>СП_20270101_eaf11e23c85911f083a1005056b5170a</vt:lpstr>
      <vt:lpstr>СП_20270101_ec74db8b1d5011f183c7005056b5170a</vt:lpstr>
      <vt:lpstr>СП_20270101_eda9216ec7cc11f083a1005056b5170a</vt:lpstr>
      <vt:lpstr>СП_20270101_f15872d1c7d811f083a1005056b5170a</vt:lpstr>
      <vt:lpstr>СП_20270101_f3278a99c7a711f083a1005056b5170a</vt:lpstr>
      <vt:lpstr>СП_20270101_f38ae66bc7d711f083a1005056b5170a</vt:lpstr>
      <vt:lpstr>СП_20270101_f3d09913c85811f083a1005056b5170a</vt:lpstr>
      <vt:lpstr>СП_20270101_f3f3b17d1d4911f183c7005056b5170a</vt:lpstr>
      <vt:lpstr>СП_20270101_f6bf7d1ec7b411f083a1005056b5170a</vt:lpstr>
      <vt:lpstr>СП_20270101_f8b81fd3c7cd11f1863a005056b5e863</vt:lpstr>
      <vt:lpstr>СП_20270101_f8b81fd4c7cd11f1863a005056b5e863</vt:lpstr>
      <vt:lpstr>СП_20270101_f8b81fd7c7cd11f1863a005056b5e863</vt:lpstr>
      <vt:lpstr>СП_20270101_f8b81fdfc7cd11f1863a005056b5e863</vt:lpstr>
      <vt:lpstr>СП_20270101_f8b81ffcc7cd11f1863a005056b5e863</vt:lpstr>
      <vt:lpstr>СП_20270101_f8b81ffdc7cd11f1863a005056b5e863</vt:lpstr>
      <vt:lpstr>СП_20270101_f8b82002c7cd11f1863a005056b5e863</vt:lpstr>
      <vt:lpstr>СП_20270101_f8b82007c7cd11f1863a005056b5e863</vt:lpstr>
      <vt:lpstr>СП_20270101_f92069c8c84711f083a1005056b5170a</vt:lpstr>
      <vt:lpstr>СП_20270101_f9883edd0bfd11f183c6005056b5170a</vt:lpstr>
      <vt:lpstr>СП_20270101_fc80b55ac7cc11f083a1005056b5170a</vt:lpstr>
      <vt:lpstr>СП_20270101_fdbd26b794dc11ee8376005056a1be4c</vt:lpstr>
      <vt:lpstr>СП_20270101_feb6a2a0c7cd11f1863a005056b5e863</vt:lpstr>
      <vt:lpstr>СП_20270101_feb6a2a7c7cd11f1863a005056b5e863</vt:lpstr>
      <vt:lpstr>СП_20270101_feb6a2afc7cd11f1863a005056b5e863</vt:lpstr>
      <vt:lpstr>СП_20270101_feb6a2e0c7cd11f1863a005056b5e863</vt:lpstr>
      <vt:lpstr>СП_20270101_feb6a30bc7cd11f1863a005056b5e863</vt:lpstr>
      <vt:lpstr>СП_20270101_feb6a310c7cd11f1863a005056b5e863</vt:lpstr>
      <vt:lpstr>СП_20270101_feb6a316c7cd11f1863a005056b5e863</vt:lpstr>
      <vt:lpstr>СП_20270101_feb6a31dc7cd11f1863a005056b5e863</vt:lpstr>
      <vt:lpstr>СП_20270101_feb6a325c7cd11f1863a005056b5e863</vt:lpstr>
      <vt:lpstr>СП_20270101_feb6a328c7cd11f1863a005056b5e863</vt:lpstr>
      <vt:lpstr>СП_20270101_feb6a32bc7cd11f1863a005056b5e863</vt:lpstr>
      <vt:lpstr>СП_20270101_feb6a332c7cd11f1863a005056b5e863</vt:lpstr>
      <vt:lpstr>СП_20270101_feb6a339c7cd11f1863a005056b5e863</vt:lpstr>
      <vt:lpstr>СП_20270101_feb6a33dc7cd11f1863a005056b5e863</vt:lpstr>
      <vt:lpstr>СП_20270101_ffc1afcac85811f083a1005056b5170a</vt:lpstr>
      <vt:lpstr>СП_20270201_018a9487c7b411f083a1005056b5170a</vt:lpstr>
      <vt:lpstr>СП_20270201_036681dbc84811f083a1005056b5170a</vt:lpstr>
      <vt:lpstr>СП_20270201_03e74c0fc7d911f083a1005056b5170a</vt:lpstr>
      <vt:lpstr>СП_20270201_05104b79c7a811f083a1005056b5170a</vt:lpstr>
      <vt:lpstr>СП_20270201_0bb19101c85911f083a1005056b5170a</vt:lpstr>
      <vt:lpstr>СП_20270201_0db71d62c84611f083a1005056b5170a</vt:lpstr>
      <vt:lpstr>СП_20270201_1421d8301d4811f183c7005056b5170a</vt:lpstr>
      <vt:lpstr>СП_20270201_163680a8c7d611f083a1005056b5170a</vt:lpstr>
      <vt:lpstr>СП_20270201_16fb1a53c7a811f083a1005056b5170a</vt:lpstr>
      <vt:lpstr>СП_20270201_184a45cfc7d711f083a1005056b5170a</vt:lpstr>
      <vt:lpstr>СП_20270201_196bb604c7b411f083a1005056b5170a</vt:lpstr>
      <vt:lpstr>СП_20270201_1a614068928811ee8376005056a1be4c</vt:lpstr>
      <vt:lpstr>СП_20270201_1a684706c84611f083a1005056b5170a</vt:lpstr>
      <vt:lpstr>СП_20270201_1daed84fc7b511f083a1005056b5170a</vt:lpstr>
      <vt:lpstr>СП_20270201_22a01918c7aa11f083a1005056b5170a</vt:lpstr>
      <vt:lpstr>СП_20270201_25fb3b91c7d611f083a1005056b5170a</vt:lpstr>
      <vt:lpstr>СП_20270201_271acd8d928811ee8376005056a1be4c</vt:lpstr>
      <vt:lpstr>СП_20270201_28c78a1ec7d711f083a1005056b5170a</vt:lpstr>
      <vt:lpstr>СП_20270201_2f74b944c7d811f083a1005056b5170a</vt:lpstr>
      <vt:lpstr>СП_20270201_31632d0cc7d611f083a1005056b5170a</vt:lpstr>
      <vt:lpstr>СП_20270201_33d4cd4f213211f183c7005056b5170a</vt:lpstr>
      <vt:lpstr>СП_20270201_34aab0c2990f11ef8384005056b5170a</vt:lpstr>
      <vt:lpstr>СП_20270201_355043d4c7d711f083a1005056b5170a</vt:lpstr>
      <vt:lpstr>СП_20270201_389f4057c7cb11f083a1005056b5170a</vt:lpstr>
      <vt:lpstr>СП_20270201_3a95d75e928a11ee8376005056a1be4c</vt:lpstr>
      <vt:lpstr>СП_20270201_3bd8087fc7d611f083a1005056b5170a</vt:lpstr>
      <vt:lpstr>СП_20270201_3c712981dfb011e982ef005056a1be4c</vt:lpstr>
      <vt:lpstr>СП_20270201_3f2ff9d6a5b011ef8384005056b5170a</vt:lpstr>
      <vt:lpstr>СП_20270201_445c2761c7b511f083a1005056b5170a</vt:lpstr>
      <vt:lpstr>СП_20270201_4613411b213211f183c7005056b5170a</vt:lpstr>
      <vt:lpstr>СП_20270201_46829e96c7d711f083a1005056b5170a</vt:lpstr>
      <vt:lpstr>СП_20270201_477830aa94da11ee8376005056a1be4c</vt:lpstr>
      <vt:lpstr>СП_20270201_483ec6637b9911f18638005056b5e863</vt:lpstr>
      <vt:lpstr>СП_20270201_49fa47b0c7d611f083a1005056b5170a</vt:lpstr>
      <vt:lpstr>СП_20270201_55eb4f8fc7d611f083a1005056b5170a</vt:lpstr>
      <vt:lpstr>СП_20270201_584645171d5511f183c7005056b5170a</vt:lpstr>
      <vt:lpstr>СП_20270201_5b33182ac7b611f083a1005056b5170a</vt:lpstr>
      <vt:lpstr>СП_20270201_5e534b9ac7aa11f083a1005056b5170a</vt:lpstr>
      <vt:lpstr>СП_20270201_6244c5e8c84711f083a1005056b5170a</vt:lpstr>
      <vt:lpstr>СП_20270201_6277513ac7b711f083a1005056b5170a</vt:lpstr>
      <vt:lpstr>СП_20270201_63f6fb3ae48911f083a6005056b5170a</vt:lpstr>
      <vt:lpstr>СП_20270201_6dcdcaa9c7d611f083a1005056b5170a</vt:lpstr>
      <vt:lpstr>СП_20270201_6ec5bd18c7aa11f083a1005056b5170a</vt:lpstr>
      <vt:lpstr>СП_20270201_74e570081d4811f183c7005056b5170a</vt:lpstr>
      <vt:lpstr>СП_20270201_77e5b212695b11f18638005056b5e863</vt:lpstr>
      <vt:lpstr>СП_20270201_7c5e7d4fc7aa11f083a1005056b5170a</vt:lpstr>
      <vt:lpstr>СП_20270201_806711dd1d5511f183c7005056b5170a</vt:lpstr>
      <vt:lpstr>СП_20270201_85aa1e2d1d4f11f183c7005056b5170a</vt:lpstr>
      <vt:lpstr>СП_20270201_8e478e15c7aa11f083a1005056b5170a</vt:lpstr>
      <vt:lpstr>СП_20270201_9205e61ac7a011f083a1005056b5170a</vt:lpstr>
      <vt:lpstr>СП_20270201_93e92e58c94711f083a3005056b5170a</vt:lpstr>
      <vt:lpstr>СП_20270201_953ba8c5695b11f18638005056b5e863</vt:lpstr>
      <vt:lpstr>СП_20270201_9de962cac84711f083a1005056b5170a</vt:lpstr>
      <vt:lpstr>СП_20270201_9e642f621d4f11f183c7005056b5170a</vt:lpstr>
      <vt:lpstr>СП_20270201_a477ec4f545211f183c8005056b5170a</vt:lpstr>
      <vt:lpstr>СП_20270201_aa40973a1d4a11f183c7005056b5170a</vt:lpstr>
      <vt:lpstr>СП_20270201_ab1ef3c9c7cc11f083a1005056b5170a</vt:lpstr>
      <vt:lpstr>СП_20270201_ab6bfd2cc7d811f083a1005056b5170a</vt:lpstr>
      <vt:lpstr>СП_20270201_b1def38f1d5511f183c7005056b5170a</vt:lpstr>
      <vt:lpstr>СП_20270201_b3b0d47f1d5011f183c7005056b5170a</vt:lpstr>
      <vt:lpstr>СП_20270201_b414fc5ac85811f083a1005056b5170a</vt:lpstr>
      <vt:lpstr>СП_20270201_b438366e4cd911e680db005056a1088b</vt:lpstr>
      <vt:lpstr>СП_20270201_b4431256c7a611f083a1005056b5170a</vt:lpstr>
      <vt:lpstr>СП_20270201_bc7a7d01c7d811f083a1005056b5170a</vt:lpstr>
      <vt:lpstr>СП_20270201_be8eb25fc7cc11f083a1005056b5170a</vt:lpstr>
      <vt:lpstr>СП_20270201_bf6525441d5111f183c7005056b5170a</vt:lpstr>
      <vt:lpstr>СП_20270201_c0422569c7d611f083a1005056b5170a</vt:lpstr>
      <vt:lpstr>СП_20270201_c4d393ccc85911f083a1005056b5170a</vt:lpstr>
      <vt:lpstr>СП_20270201_c64e660926bd11f183c7005056b5170a</vt:lpstr>
      <vt:lpstr>СП_20270201_c7add6cc6a4811e4805ad4ae526f013e</vt:lpstr>
      <vt:lpstr>СП_20270201_c7add6cd6a4811e4805ad4ae526f013e</vt:lpstr>
      <vt:lpstr>СП_20270201_c7add6d06a4811e4805ad4ae526f013e</vt:lpstr>
      <vt:lpstr>СП_20270201_c7add6d26a4811e4805ad4ae526f013e</vt:lpstr>
      <vt:lpstr>СП_20270201_c7add6d36a4811e4805ad4ae526f013e</vt:lpstr>
      <vt:lpstr>СП_20270201_c7add6d46a4811e4805ad4ae526f013e</vt:lpstr>
      <vt:lpstr>СП_20270201_c7add6d76a4811e4805ad4ae526f013e</vt:lpstr>
      <vt:lpstr>СП_20270201_c7add6ea6a4811e4805ad4ae526f013e</vt:lpstr>
      <vt:lpstr>СП_20270201_c7add6ed6a4811e4805ad4ae526f013e</vt:lpstr>
      <vt:lpstr>СП_20270201_c7add6f66a4811e4805ad4ae526f013e</vt:lpstr>
      <vt:lpstr>СП_20270201_c7add6f76a4811e4805ad4ae526f013e</vt:lpstr>
      <vt:lpstr>СП_20270201_c7add6ff6a4811e4805ad4ae526f013e</vt:lpstr>
      <vt:lpstr>СП_20270201_c7add7016a4811e4805ad4ae526f013e</vt:lpstr>
      <vt:lpstr>СП_20270201_c7add7026a4811e4805ad4ae526f013e</vt:lpstr>
      <vt:lpstr>СП_20270201_c7add7046a4811e4805ad4ae526f013e</vt:lpstr>
      <vt:lpstr>СП_20270201_c7add7056a4811e4805ad4ae526f013e</vt:lpstr>
      <vt:lpstr>СП_20270201_c7add7066a4811e4805ad4ae526f013e</vt:lpstr>
      <vt:lpstr>СП_20270201_c7add7076a4811e4805ad4ae526f013e</vt:lpstr>
      <vt:lpstr>СП_20270201_c7add7266a4811e4805ad4ae526f013e</vt:lpstr>
      <vt:lpstr>СП_20270201_cc91985fc7d811f083a1005056b5170a</vt:lpstr>
      <vt:lpstr>СП_20270201_ccbf0ec5c7cc11f083a1005056b5170a</vt:lpstr>
      <vt:lpstr>СП_20270201_ce12a12494db11ee8376005056a1be4c</vt:lpstr>
      <vt:lpstr>СП_20270201_d0ff26e8c84511f083a1005056b5170a</vt:lpstr>
      <vt:lpstr>СП_20270201_d1196183c7d611f083a1005056b5170a</vt:lpstr>
      <vt:lpstr>СП_20270201_d450ad9cc84311f083a1005056b5170a</vt:lpstr>
      <vt:lpstr>СП_20270201_d56e8e951d4911f183c7005056b5170a</vt:lpstr>
      <vt:lpstr>СП_20270201_d9a415b3c7d611f083a1005056b5170a</vt:lpstr>
      <vt:lpstr>СП_20270201_dc23c215c7d511f083a1005056b5170a</vt:lpstr>
      <vt:lpstr>СП_20270201_de2933d4c85911f083a1005056b5170a</vt:lpstr>
      <vt:lpstr>СП_20270201_e0d93d37c7cc11f083a1005056b5170a</vt:lpstr>
      <vt:lpstr>СП_20270201_e21f8f63c7d711f083a1005056b5170a</vt:lpstr>
      <vt:lpstr>СП_20270201_e47771ec94dc11ee8376005056a1be4c</vt:lpstr>
      <vt:lpstr>СП_20270201_e5e5c84ec7d811f083a1005056b5170a</vt:lpstr>
      <vt:lpstr>СП_20270201_e7dd9c1c94db11ee8376005056a1be4c</vt:lpstr>
      <vt:lpstr>СП_20270201_eaf11e23c85911f083a1005056b5170a</vt:lpstr>
      <vt:lpstr>СП_20270201_ec74db8b1d5011f183c7005056b5170a</vt:lpstr>
      <vt:lpstr>СП_20270201_eda9216ec7cc11f083a1005056b5170a</vt:lpstr>
      <vt:lpstr>СП_20270201_f15872d1c7d811f083a1005056b5170a</vt:lpstr>
      <vt:lpstr>СП_20270201_f3278a99c7a711f083a1005056b5170a</vt:lpstr>
      <vt:lpstr>СП_20270201_f38ae66bc7d711f083a1005056b5170a</vt:lpstr>
      <vt:lpstr>СП_20270201_f3d09913c85811f083a1005056b5170a</vt:lpstr>
      <vt:lpstr>СП_20270201_f3f3b17d1d4911f183c7005056b5170a</vt:lpstr>
      <vt:lpstr>СП_20270201_f6bf7d1ec7b411f083a1005056b5170a</vt:lpstr>
      <vt:lpstr>СП_20270201_f8b81fd3c7cd11f1863a005056b5e863</vt:lpstr>
      <vt:lpstr>СП_20270201_f8b81fd4c7cd11f1863a005056b5e863</vt:lpstr>
      <vt:lpstr>СП_20270201_f8b81fd7c7cd11f1863a005056b5e863</vt:lpstr>
      <vt:lpstr>СП_20270201_f8b81fdfc7cd11f1863a005056b5e863</vt:lpstr>
      <vt:lpstr>СП_20270201_f8b81ffcc7cd11f1863a005056b5e863</vt:lpstr>
      <vt:lpstr>СП_20270201_f8b81ffdc7cd11f1863a005056b5e863</vt:lpstr>
      <vt:lpstr>СП_20270201_f8b82002c7cd11f1863a005056b5e863</vt:lpstr>
      <vt:lpstr>СП_20270201_f8b82007c7cd11f1863a005056b5e863</vt:lpstr>
      <vt:lpstr>СП_20270201_f92069c8c84711f083a1005056b5170a</vt:lpstr>
      <vt:lpstr>СП_20270201_f9883edd0bfd11f183c6005056b5170a</vt:lpstr>
      <vt:lpstr>СП_20270201_fc80b55ac7cc11f083a1005056b5170a</vt:lpstr>
      <vt:lpstr>СП_20270201_fdbd26b794dc11ee8376005056a1be4c</vt:lpstr>
      <vt:lpstr>СП_20270201_feb6a2a0c7cd11f1863a005056b5e863</vt:lpstr>
      <vt:lpstr>СП_20270201_feb6a2a7c7cd11f1863a005056b5e863</vt:lpstr>
      <vt:lpstr>СП_20270201_feb6a2afc7cd11f1863a005056b5e863</vt:lpstr>
      <vt:lpstr>СП_20270201_feb6a2e0c7cd11f1863a005056b5e863</vt:lpstr>
      <vt:lpstr>СП_20270201_feb6a30bc7cd11f1863a005056b5e863</vt:lpstr>
      <vt:lpstr>СП_20270201_feb6a310c7cd11f1863a005056b5e863</vt:lpstr>
      <vt:lpstr>СП_20270201_feb6a316c7cd11f1863a005056b5e863</vt:lpstr>
      <vt:lpstr>СП_20270201_feb6a31dc7cd11f1863a005056b5e863</vt:lpstr>
      <vt:lpstr>СП_20270201_feb6a325c7cd11f1863a005056b5e863</vt:lpstr>
      <vt:lpstr>СП_20270201_feb6a328c7cd11f1863a005056b5e863</vt:lpstr>
      <vt:lpstr>СП_20270201_feb6a32bc7cd11f1863a005056b5e863</vt:lpstr>
      <vt:lpstr>СП_20270201_feb6a332c7cd11f1863a005056b5e863</vt:lpstr>
      <vt:lpstr>СП_20270201_feb6a339c7cd11f1863a005056b5e863</vt:lpstr>
      <vt:lpstr>СП_20270201_feb6a33dc7cd11f1863a005056b5e863</vt:lpstr>
      <vt:lpstr>СП_20270201_ffc1afcac85811f083a1005056b5170a</vt:lpstr>
      <vt:lpstr>СП_20270301_018a9487c7b411f083a1005056b5170a</vt:lpstr>
      <vt:lpstr>СП_20270301_036681dbc84811f083a1005056b5170a</vt:lpstr>
      <vt:lpstr>СП_20270301_03e74c0fc7d911f083a1005056b5170a</vt:lpstr>
      <vt:lpstr>СП_20270301_05104b79c7a811f083a1005056b5170a</vt:lpstr>
      <vt:lpstr>СП_20270301_0bb19101c85911f083a1005056b5170a</vt:lpstr>
      <vt:lpstr>СП_20270301_0db71d62c84611f083a1005056b5170a</vt:lpstr>
      <vt:lpstr>СП_20270301_1421d8301d4811f183c7005056b5170a</vt:lpstr>
      <vt:lpstr>СП_20270301_163680a8c7d611f083a1005056b5170a</vt:lpstr>
      <vt:lpstr>СП_20270301_16fb1a53c7a811f083a1005056b5170a</vt:lpstr>
      <vt:lpstr>СП_20270301_184a45cfc7d711f083a1005056b5170a</vt:lpstr>
      <vt:lpstr>СП_20270301_196bb604c7b411f083a1005056b5170a</vt:lpstr>
      <vt:lpstr>СП_20270301_1a614068928811ee8376005056a1be4c</vt:lpstr>
      <vt:lpstr>СП_20270301_1a684706c84611f083a1005056b5170a</vt:lpstr>
      <vt:lpstr>СП_20270301_1daed84fc7b511f083a1005056b5170a</vt:lpstr>
      <vt:lpstr>СП_20270301_22a01918c7aa11f083a1005056b5170a</vt:lpstr>
      <vt:lpstr>СП_20270301_25fb3b91c7d611f083a1005056b5170a</vt:lpstr>
      <vt:lpstr>СП_20270301_271acd8d928811ee8376005056a1be4c</vt:lpstr>
      <vt:lpstr>СП_20270301_28c78a1ec7d711f083a1005056b5170a</vt:lpstr>
      <vt:lpstr>СП_20270301_2f74b944c7d811f083a1005056b5170a</vt:lpstr>
      <vt:lpstr>СП_20270301_31632d0cc7d611f083a1005056b5170a</vt:lpstr>
      <vt:lpstr>СП_20270301_33d4cd4f213211f183c7005056b5170a</vt:lpstr>
      <vt:lpstr>СП_20270301_34aab0c2990f11ef8384005056b5170a</vt:lpstr>
      <vt:lpstr>СП_20270301_355043d4c7d711f083a1005056b5170a</vt:lpstr>
      <vt:lpstr>СП_20270301_389f4057c7cb11f083a1005056b5170a</vt:lpstr>
      <vt:lpstr>СП_20270301_3a95d75e928a11ee8376005056a1be4c</vt:lpstr>
      <vt:lpstr>СП_20270301_3bd8087fc7d611f083a1005056b5170a</vt:lpstr>
      <vt:lpstr>СП_20270301_3c712981dfb011e982ef005056a1be4c</vt:lpstr>
      <vt:lpstr>СП_20270301_3f2ff9d6a5b011ef8384005056b5170a</vt:lpstr>
      <vt:lpstr>СП_20270301_445c2761c7b511f083a1005056b5170a</vt:lpstr>
      <vt:lpstr>СП_20270301_4613411b213211f183c7005056b5170a</vt:lpstr>
      <vt:lpstr>СП_20270301_46829e96c7d711f083a1005056b5170a</vt:lpstr>
      <vt:lpstr>СП_20270301_477830aa94da11ee8376005056a1be4c</vt:lpstr>
      <vt:lpstr>СП_20270301_483ec6637b9911f18638005056b5e863</vt:lpstr>
      <vt:lpstr>СП_20270301_49fa47b0c7d611f083a1005056b5170a</vt:lpstr>
      <vt:lpstr>СП_20270301_55eb4f8fc7d611f083a1005056b5170a</vt:lpstr>
      <vt:lpstr>СП_20270301_584645171d5511f183c7005056b5170a</vt:lpstr>
      <vt:lpstr>СП_20270301_5b33182ac7b611f083a1005056b5170a</vt:lpstr>
      <vt:lpstr>СП_20270301_5e534b9ac7aa11f083a1005056b5170a</vt:lpstr>
      <vt:lpstr>СП_20270301_6244c5e8c84711f083a1005056b5170a</vt:lpstr>
      <vt:lpstr>СП_20270301_6277513ac7b711f083a1005056b5170a</vt:lpstr>
      <vt:lpstr>СП_20270301_63f6fb3ae48911f083a6005056b5170a</vt:lpstr>
      <vt:lpstr>СП_20270301_6dcdcaa9c7d611f083a1005056b5170a</vt:lpstr>
      <vt:lpstr>СП_20270301_6ec5bd18c7aa11f083a1005056b5170a</vt:lpstr>
      <vt:lpstr>СП_20270301_74e570081d4811f183c7005056b5170a</vt:lpstr>
      <vt:lpstr>СП_20270301_77e5b212695b11f18638005056b5e863</vt:lpstr>
      <vt:lpstr>СП_20270301_7c5e7d4fc7aa11f083a1005056b5170a</vt:lpstr>
      <vt:lpstr>СП_20270301_806711dd1d5511f183c7005056b5170a</vt:lpstr>
      <vt:lpstr>СП_20270301_85aa1e2d1d4f11f183c7005056b5170a</vt:lpstr>
      <vt:lpstr>СП_20270301_8e478e15c7aa11f083a1005056b5170a</vt:lpstr>
      <vt:lpstr>СП_20270301_9205e61ac7a011f083a1005056b5170a</vt:lpstr>
      <vt:lpstr>СП_20270301_93e92e58c94711f083a3005056b5170a</vt:lpstr>
      <vt:lpstr>СП_20270301_953ba8c5695b11f18638005056b5e863</vt:lpstr>
      <vt:lpstr>СП_20270301_9de962cac84711f083a1005056b5170a</vt:lpstr>
      <vt:lpstr>СП_20270301_9e642f621d4f11f183c7005056b5170a</vt:lpstr>
      <vt:lpstr>СП_20270301_a477ec4f545211f183c8005056b5170a</vt:lpstr>
      <vt:lpstr>СП_20270301_aa40973a1d4a11f183c7005056b5170a</vt:lpstr>
      <vt:lpstr>СП_20270301_ab1ef3c9c7cc11f083a1005056b5170a</vt:lpstr>
      <vt:lpstr>СП_20270301_ab6bfd2cc7d811f083a1005056b5170a</vt:lpstr>
      <vt:lpstr>СП_20270301_b1def38f1d5511f183c7005056b5170a</vt:lpstr>
      <vt:lpstr>СП_20270301_b3b0d47f1d5011f183c7005056b5170a</vt:lpstr>
      <vt:lpstr>СП_20270301_b414fc5ac85811f083a1005056b5170a</vt:lpstr>
      <vt:lpstr>СП_20270301_b438366e4cd911e680db005056a1088b</vt:lpstr>
      <vt:lpstr>СП_20270301_b4431256c7a611f083a1005056b5170a</vt:lpstr>
      <vt:lpstr>СП_20270301_bc7a7d01c7d811f083a1005056b5170a</vt:lpstr>
      <vt:lpstr>СП_20270301_be8eb25fc7cc11f083a1005056b5170a</vt:lpstr>
      <vt:lpstr>СП_20270301_bf6525441d5111f183c7005056b5170a</vt:lpstr>
      <vt:lpstr>СП_20270301_c0422569c7d611f083a1005056b5170a</vt:lpstr>
      <vt:lpstr>СП_20270301_c4d393ccc85911f083a1005056b5170a</vt:lpstr>
      <vt:lpstr>СП_20270301_c64e660926bd11f183c7005056b5170a</vt:lpstr>
      <vt:lpstr>СП_20270301_c7add6cc6a4811e4805ad4ae526f013e</vt:lpstr>
      <vt:lpstr>СП_20270301_c7add6cd6a4811e4805ad4ae526f013e</vt:lpstr>
      <vt:lpstr>СП_20270301_c7add6d06a4811e4805ad4ae526f013e</vt:lpstr>
      <vt:lpstr>СП_20270301_c7add6d26a4811e4805ad4ae526f013e</vt:lpstr>
      <vt:lpstr>СП_20270301_c7add6d36a4811e4805ad4ae526f013e</vt:lpstr>
      <vt:lpstr>СП_20270301_c7add6d46a4811e4805ad4ae526f013e</vt:lpstr>
      <vt:lpstr>СП_20270301_c7add6d76a4811e4805ad4ae526f013e</vt:lpstr>
      <vt:lpstr>СП_20270301_c7add6ea6a4811e4805ad4ae526f013e</vt:lpstr>
      <vt:lpstr>СП_20270301_c7add6ed6a4811e4805ad4ae526f013e</vt:lpstr>
      <vt:lpstr>СП_20270301_c7add6f66a4811e4805ad4ae526f013e</vt:lpstr>
      <vt:lpstr>СП_20270301_c7add6f76a4811e4805ad4ae526f013e</vt:lpstr>
      <vt:lpstr>СП_20270301_c7add6ff6a4811e4805ad4ae526f013e</vt:lpstr>
      <vt:lpstr>СП_20270301_c7add7016a4811e4805ad4ae526f013e</vt:lpstr>
      <vt:lpstr>СП_20270301_c7add7026a4811e4805ad4ae526f013e</vt:lpstr>
      <vt:lpstr>СП_20270301_c7add7046a4811e4805ad4ae526f013e</vt:lpstr>
      <vt:lpstr>СП_20270301_c7add7056a4811e4805ad4ae526f013e</vt:lpstr>
      <vt:lpstr>СП_20270301_c7add7066a4811e4805ad4ae526f013e</vt:lpstr>
      <vt:lpstr>СП_20270301_c7add7076a4811e4805ad4ae526f013e</vt:lpstr>
      <vt:lpstr>СП_20270301_c7add7266a4811e4805ad4ae526f013e</vt:lpstr>
      <vt:lpstr>СП_20270301_cc91985fc7d811f083a1005056b5170a</vt:lpstr>
      <vt:lpstr>СП_20270301_ccbf0ec5c7cc11f083a1005056b5170a</vt:lpstr>
      <vt:lpstr>СП_20270301_ce12a12494db11ee8376005056a1be4c</vt:lpstr>
      <vt:lpstr>СП_20270301_d0ff26e8c84511f083a1005056b5170a</vt:lpstr>
      <vt:lpstr>СП_20270301_d1196183c7d611f083a1005056b5170a</vt:lpstr>
      <vt:lpstr>СП_20270301_d450ad9cc84311f083a1005056b5170a</vt:lpstr>
      <vt:lpstr>СП_20270301_d56e8e951d4911f183c7005056b5170a</vt:lpstr>
      <vt:lpstr>СП_20270301_d9a415b3c7d611f083a1005056b5170a</vt:lpstr>
      <vt:lpstr>СП_20270301_dc23c215c7d511f083a1005056b5170a</vt:lpstr>
      <vt:lpstr>СП_20270301_de2933d4c85911f083a1005056b5170a</vt:lpstr>
      <vt:lpstr>СП_20270301_e0d93d37c7cc11f083a1005056b5170a</vt:lpstr>
      <vt:lpstr>СП_20270301_e21f8f63c7d711f083a1005056b5170a</vt:lpstr>
      <vt:lpstr>СП_20270301_e47771ec94dc11ee8376005056a1be4c</vt:lpstr>
      <vt:lpstr>СП_20270301_e5e5c84ec7d811f083a1005056b5170a</vt:lpstr>
      <vt:lpstr>СП_20270301_e7dd9c1c94db11ee8376005056a1be4c</vt:lpstr>
      <vt:lpstr>СП_20270301_eaf11e23c85911f083a1005056b5170a</vt:lpstr>
      <vt:lpstr>СП_20270301_ec74db8b1d5011f183c7005056b5170a</vt:lpstr>
      <vt:lpstr>СП_20270301_eda9216ec7cc11f083a1005056b5170a</vt:lpstr>
      <vt:lpstr>СП_20270301_f15872d1c7d811f083a1005056b5170a</vt:lpstr>
      <vt:lpstr>СП_20270301_f3278a99c7a711f083a1005056b5170a</vt:lpstr>
      <vt:lpstr>СП_20270301_f38ae66bc7d711f083a1005056b5170a</vt:lpstr>
      <vt:lpstr>СП_20270301_f3d09913c85811f083a1005056b5170a</vt:lpstr>
      <vt:lpstr>СП_20270301_f3f3b17d1d4911f183c7005056b5170a</vt:lpstr>
      <vt:lpstr>СП_20270301_f6bf7d1ec7b411f083a1005056b5170a</vt:lpstr>
      <vt:lpstr>СП_20270301_f8b81fd3c7cd11f1863a005056b5e863</vt:lpstr>
      <vt:lpstr>СП_20270301_f8b81fd4c7cd11f1863a005056b5e863</vt:lpstr>
      <vt:lpstr>СП_20270301_f8b81fd7c7cd11f1863a005056b5e863</vt:lpstr>
      <vt:lpstr>СП_20270301_f8b81fdfc7cd11f1863a005056b5e863</vt:lpstr>
      <vt:lpstr>СП_20270301_f8b81ffcc7cd11f1863a005056b5e863</vt:lpstr>
      <vt:lpstr>СП_20270301_f8b81ffdc7cd11f1863a005056b5e863</vt:lpstr>
      <vt:lpstr>СП_20270301_f8b82002c7cd11f1863a005056b5e863</vt:lpstr>
      <vt:lpstr>СП_20270301_f8b82007c7cd11f1863a005056b5e863</vt:lpstr>
      <vt:lpstr>СП_20270301_f92069c8c84711f083a1005056b5170a</vt:lpstr>
      <vt:lpstr>СП_20270301_f9883edd0bfd11f183c6005056b5170a</vt:lpstr>
      <vt:lpstr>СП_20270301_fc80b55ac7cc11f083a1005056b5170a</vt:lpstr>
      <vt:lpstr>СП_20270301_fdbd26b794dc11ee8376005056a1be4c</vt:lpstr>
      <vt:lpstr>СП_20270301_feb6a2a0c7cd11f1863a005056b5e863</vt:lpstr>
      <vt:lpstr>СП_20270301_feb6a2a7c7cd11f1863a005056b5e863</vt:lpstr>
      <vt:lpstr>СП_20270301_feb6a2afc7cd11f1863a005056b5e863</vt:lpstr>
      <vt:lpstr>СП_20270301_feb6a2e0c7cd11f1863a005056b5e863</vt:lpstr>
      <vt:lpstr>СП_20270301_feb6a30bc7cd11f1863a005056b5e863</vt:lpstr>
      <vt:lpstr>СП_20270301_feb6a310c7cd11f1863a005056b5e863</vt:lpstr>
      <vt:lpstr>СП_20270301_feb6a316c7cd11f1863a005056b5e863</vt:lpstr>
      <vt:lpstr>СП_20270301_feb6a31dc7cd11f1863a005056b5e863</vt:lpstr>
      <vt:lpstr>СП_20270301_feb6a325c7cd11f1863a005056b5e863</vt:lpstr>
      <vt:lpstr>СП_20270301_feb6a328c7cd11f1863a005056b5e863</vt:lpstr>
      <vt:lpstr>СП_20270301_feb6a32bc7cd11f1863a005056b5e863</vt:lpstr>
      <vt:lpstr>СП_20270301_feb6a332c7cd11f1863a005056b5e863</vt:lpstr>
      <vt:lpstr>СП_20270301_feb6a339c7cd11f1863a005056b5e863</vt:lpstr>
      <vt:lpstr>СП_20270301_feb6a33dc7cd11f1863a005056b5e863</vt:lpstr>
      <vt:lpstr>СП_20270301_ffc1afcac85811f083a1005056b5170a</vt:lpstr>
      <vt:lpstr>СП_20270401_018a9487c7b411f083a1005056b5170a</vt:lpstr>
      <vt:lpstr>СП_20270401_036681dbc84811f083a1005056b5170a</vt:lpstr>
      <vt:lpstr>СП_20270401_03e74c0fc7d911f083a1005056b5170a</vt:lpstr>
      <vt:lpstr>СП_20270401_05104b79c7a811f083a1005056b5170a</vt:lpstr>
      <vt:lpstr>СП_20270401_0bb19101c85911f083a1005056b5170a</vt:lpstr>
      <vt:lpstr>СП_20270401_0db71d62c84611f083a1005056b5170a</vt:lpstr>
      <vt:lpstr>СП_20270401_1421d8301d4811f183c7005056b5170a</vt:lpstr>
      <vt:lpstr>СП_20270401_163680a8c7d611f083a1005056b5170a</vt:lpstr>
      <vt:lpstr>СП_20270401_16fb1a53c7a811f083a1005056b5170a</vt:lpstr>
      <vt:lpstr>СП_20270401_184a45cfc7d711f083a1005056b5170a</vt:lpstr>
      <vt:lpstr>СП_20270401_196bb604c7b411f083a1005056b5170a</vt:lpstr>
      <vt:lpstr>СП_20270401_1a614068928811ee8376005056a1be4c</vt:lpstr>
      <vt:lpstr>СП_20270401_1a684706c84611f083a1005056b5170a</vt:lpstr>
      <vt:lpstr>СП_20270401_1daed84fc7b511f083a1005056b5170a</vt:lpstr>
      <vt:lpstr>СП_20270401_22a01918c7aa11f083a1005056b5170a</vt:lpstr>
      <vt:lpstr>СП_20270401_25fb3b91c7d611f083a1005056b5170a</vt:lpstr>
      <vt:lpstr>СП_20270401_271acd8d928811ee8376005056a1be4c</vt:lpstr>
      <vt:lpstr>СП_20270401_28c78a1ec7d711f083a1005056b5170a</vt:lpstr>
      <vt:lpstr>СП_20270401_2f74b944c7d811f083a1005056b5170a</vt:lpstr>
      <vt:lpstr>СП_20270401_31632d0cc7d611f083a1005056b5170a</vt:lpstr>
      <vt:lpstr>СП_20270401_33d4cd4f213211f183c7005056b5170a</vt:lpstr>
      <vt:lpstr>СП_20270401_34aab0c2990f11ef8384005056b5170a</vt:lpstr>
      <vt:lpstr>СП_20270401_355043d4c7d711f083a1005056b5170a</vt:lpstr>
      <vt:lpstr>СП_20270401_389f4057c7cb11f083a1005056b5170a</vt:lpstr>
      <vt:lpstr>СП_20270401_3a95d75e928a11ee8376005056a1be4c</vt:lpstr>
      <vt:lpstr>СП_20270401_3bd8087fc7d611f083a1005056b5170a</vt:lpstr>
      <vt:lpstr>СП_20270401_3c712981dfb011e982ef005056a1be4c</vt:lpstr>
      <vt:lpstr>СП_20270401_3f2ff9d6a5b011ef8384005056b5170a</vt:lpstr>
      <vt:lpstr>СП_20270401_445c2761c7b511f083a1005056b5170a</vt:lpstr>
      <vt:lpstr>СП_20270401_4613411b213211f183c7005056b5170a</vt:lpstr>
      <vt:lpstr>СП_20270401_46829e96c7d711f083a1005056b5170a</vt:lpstr>
      <vt:lpstr>СП_20270401_477830aa94da11ee8376005056a1be4c</vt:lpstr>
      <vt:lpstr>СП_20270401_483ec6637b9911f18638005056b5e863</vt:lpstr>
      <vt:lpstr>СП_20270401_49fa47b0c7d611f083a1005056b5170a</vt:lpstr>
      <vt:lpstr>СП_20270401_55eb4f8fc7d611f083a1005056b5170a</vt:lpstr>
      <vt:lpstr>СП_20270401_584645171d5511f183c7005056b5170a</vt:lpstr>
      <vt:lpstr>СП_20270401_5b33182ac7b611f083a1005056b5170a</vt:lpstr>
      <vt:lpstr>СП_20270401_5e534b9ac7aa11f083a1005056b5170a</vt:lpstr>
      <vt:lpstr>СП_20270401_6244c5e8c84711f083a1005056b5170a</vt:lpstr>
      <vt:lpstr>СП_20270401_6277513ac7b711f083a1005056b5170a</vt:lpstr>
      <vt:lpstr>СП_20270401_63f6fb3ae48911f083a6005056b5170a</vt:lpstr>
      <vt:lpstr>СП_20270401_6dcdcaa9c7d611f083a1005056b5170a</vt:lpstr>
      <vt:lpstr>СП_20270401_6ec5bd18c7aa11f083a1005056b5170a</vt:lpstr>
      <vt:lpstr>СП_20270401_74e570081d4811f183c7005056b5170a</vt:lpstr>
      <vt:lpstr>СП_20270401_77e5b212695b11f18638005056b5e863</vt:lpstr>
      <vt:lpstr>СП_20270401_7c5e7d4fc7aa11f083a1005056b5170a</vt:lpstr>
      <vt:lpstr>СП_20270401_806711dd1d5511f183c7005056b5170a</vt:lpstr>
      <vt:lpstr>СП_20270401_85aa1e2d1d4f11f183c7005056b5170a</vt:lpstr>
      <vt:lpstr>СП_20270401_8e478e15c7aa11f083a1005056b5170a</vt:lpstr>
      <vt:lpstr>СП_20270401_9205e61ac7a011f083a1005056b5170a</vt:lpstr>
      <vt:lpstr>СП_20270401_93e92e58c94711f083a3005056b5170a</vt:lpstr>
      <vt:lpstr>СП_20270401_953ba8c5695b11f18638005056b5e863</vt:lpstr>
      <vt:lpstr>СП_20270401_9de962cac84711f083a1005056b5170a</vt:lpstr>
      <vt:lpstr>СП_20270401_9e642f621d4f11f183c7005056b5170a</vt:lpstr>
      <vt:lpstr>СП_20270401_a477ec4f545211f183c8005056b5170a</vt:lpstr>
      <vt:lpstr>СП_20270401_aa40973a1d4a11f183c7005056b5170a</vt:lpstr>
      <vt:lpstr>СП_20270401_ab1ef3c9c7cc11f083a1005056b5170a</vt:lpstr>
      <vt:lpstr>СП_20270401_ab6bfd2cc7d811f083a1005056b5170a</vt:lpstr>
      <vt:lpstr>СП_20270401_b1def38f1d5511f183c7005056b5170a</vt:lpstr>
      <vt:lpstr>СП_20270401_b3b0d47f1d5011f183c7005056b5170a</vt:lpstr>
      <vt:lpstr>СП_20270401_b414fc5ac85811f083a1005056b5170a</vt:lpstr>
      <vt:lpstr>СП_20270401_b438366e4cd911e680db005056a1088b</vt:lpstr>
      <vt:lpstr>СП_20270401_b4431256c7a611f083a1005056b5170a</vt:lpstr>
      <vt:lpstr>СП_20270401_bc7a7d01c7d811f083a1005056b5170a</vt:lpstr>
      <vt:lpstr>СП_20270401_be8eb25fc7cc11f083a1005056b5170a</vt:lpstr>
      <vt:lpstr>СП_20270401_bf6525441d5111f183c7005056b5170a</vt:lpstr>
      <vt:lpstr>СП_20270401_c0422569c7d611f083a1005056b5170a</vt:lpstr>
      <vt:lpstr>СП_20270401_c4d393ccc85911f083a1005056b5170a</vt:lpstr>
      <vt:lpstr>СП_20270401_c64e660926bd11f183c7005056b5170a</vt:lpstr>
      <vt:lpstr>СП_20270401_c7add6cc6a4811e4805ad4ae526f013e</vt:lpstr>
      <vt:lpstr>СП_20270401_c7add6cd6a4811e4805ad4ae526f013e</vt:lpstr>
      <vt:lpstr>СП_20270401_c7add6d06a4811e4805ad4ae526f013e</vt:lpstr>
      <vt:lpstr>СП_20270401_c7add6d26a4811e4805ad4ae526f013e</vt:lpstr>
      <vt:lpstr>СП_20270401_c7add6d36a4811e4805ad4ae526f013e</vt:lpstr>
      <vt:lpstr>СП_20270401_c7add6d46a4811e4805ad4ae526f013e</vt:lpstr>
      <vt:lpstr>СП_20270401_c7add6d76a4811e4805ad4ae526f013e</vt:lpstr>
      <vt:lpstr>СП_20270401_c7add6ea6a4811e4805ad4ae526f013e</vt:lpstr>
      <vt:lpstr>СП_20270401_c7add6ed6a4811e4805ad4ae526f013e</vt:lpstr>
      <vt:lpstr>СП_20270401_c7add6f66a4811e4805ad4ae526f013e</vt:lpstr>
      <vt:lpstr>СП_20270401_c7add6f76a4811e4805ad4ae526f013e</vt:lpstr>
      <vt:lpstr>СП_20270401_c7add6ff6a4811e4805ad4ae526f013e</vt:lpstr>
      <vt:lpstr>СП_20270401_c7add7016a4811e4805ad4ae526f013e</vt:lpstr>
      <vt:lpstr>СП_20270401_c7add7026a4811e4805ad4ae526f013e</vt:lpstr>
      <vt:lpstr>СП_20270401_c7add7046a4811e4805ad4ae526f013e</vt:lpstr>
      <vt:lpstr>СП_20270401_c7add7056a4811e4805ad4ae526f013e</vt:lpstr>
      <vt:lpstr>СП_20270401_c7add7066a4811e4805ad4ae526f013e</vt:lpstr>
      <vt:lpstr>СП_20270401_c7add7076a4811e4805ad4ae526f013e</vt:lpstr>
      <vt:lpstr>СП_20270401_c7add7266a4811e4805ad4ae526f013e</vt:lpstr>
      <vt:lpstr>СП_20270401_cc91985fc7d811f083a1005056b5170a</vt:lpstr>
      <vt:lpstr>СП_20270401_ccbf0ec5c7cc11f083a1005056b5170a</vt:lpstr>
      <vt:lpstr>СП_20270401_ce12a12494db11ee8376005056a1be4c</vt:lpstr>
      <vt:lpstr>СП_20270401_d0ff26e8c84511f083a1005056b5170a</vt:lpstr>
      <vt:lpstr>СП_20270401_d1196183c7d611f083a1005056b5170a</vt:lpstr>
      <vt:lpstr>СП_20270401_d450ad9cc84311f083a1005056b5170a</vt:lpstr>
      <vt:lpstr>СП_20270401_d56e8e951d4911f183c7005056b5170a</vt:lpstr>
      <vt:lpstr>СП_20270401_d9a415b3c7d611f083a1005056b5170a</vt:lpstr>
      <vt:lpstr>СП_20270401_dc23c215c7d511f083a1005056b5170a</vt:lpstr>
      <vt:lpstr>СП_20270401_de2933d4c85911f083a1005056b5170a</vt:lpstr>
      <vt:lpstr>СП_20270401_e0d93d37c7cc11f083a1005056b5170a</vt:lpstr>
      <vt:lpstr>СП_20270401_e21f8f63c7d711f083a1005056b5170a</vt:lpstr>
      <vt:lpstr>СП_20270401_e47771ec94dc11ee8376005056a1be4c</vt:lpstr>
      <vt:lpstr>СП_20270401_e5e5c84ec7d811f083a1005056b5170a</vt:lpstr>
      <vt:lpstr>СП_20270401_e7dd9c1c94db11ee8376005056a1be4c</vt:lpstr>
      <vt:lpstr>СП_20270401_eaf11e23c85911f083a1005056b5170a</vt:lpstr>
      <vt:lpstr>СП_20270401_ec74db8b1d5011f183c7005056b5170a</vt:lpstr>
      <vt:lpstr>СП_20270401_eda9216ec7cc11f083a1005056b5170a</vt:lpstr>
      <vt:lpstr>СП_20270401_f15872d1c7d811f083a1005056b5170a</vt:lpstr>
      <vt:lpstr>СП_20270401_f3278a99c7a711f083a1005056b5170a</vt:lpstr>
      <vt:lpstr>СП_20270401_f38ae66bc7d711f083a1005056b5170a</vt:lpstr>
      <vt:lpstr>СП_20270401_f3d09913c85811f083a1005056b5170a</vt:lpstr>
      <vt:lpstr>СП_20270401_f3f3b17d1d4911f183c7005056b5170a</vt:lpstr>
      <vt:lpstr>СП_20270401_f6bf7d1ec7b411f083a1005056b5170a</vt:lpstr>
      <vt:lpstr>СП_20270401_f8b81fd3c7cd11f1863a005056b5e863</vt:lpstr>
      <vt:lpstr>СП_20270401_f8b81fd4c7cd11f1863a005056b5e863</vt:lpstr>
      <vt:lpstr>СП_20270401_f8b81fd7c7cd11f1863a005056b5e863</vt:lpstr>
      <vt:lpstr>СП_20270401_f8b81fdfc7cd11f1863a005056b5e863</vt:lpstr>
      <vt:lpstr>СП_20270401_f8b81ffcc7cd11f1863a005056b5e863</vt:lpstr>
      <vt:lpstr>СП_20270401_f8b81ffdc7cd11f1863a005056b5e863</vt:lpstr>
      <vt:lpstr>СП_20270401_f8b82002c7cd11f1863a005056b5e863</vt:lpstr>
      <vt:lpstr>СП_20270401_f8b82007c7cd11f1863a005056b5e863</vt:lpstr>
      <vt:lpstr>СП_20270401_f92069c8c84711f083a1005056b5170a</vt:lpstr>
      <vt:lpstr>СП_20270401_f9883edd0bfd11f183c6005056b5170a</vt:lpstr>
      <vt:lpstr>СП_20270401_fc80b55ac7cc11f083a1005056b5170a</vt:lpstr>
      <vt:lpstr>СП_20270401_fdbd26b794dc11ee8376005056a1be4c</vt:lpstr>
      <vt:lpstr>СП_20270401_feb6a2a0c7cd11f1863a005056b5e863</vt:lpstr>
      <vt:lpstr>СП_20270401_feb6a2a7c7cd11f1863a005056b5e863</vt:lpstr>
      <vt:lpstr>СП_20270401_feb6a2afc7cd11f1863a005056b5e863</vt:lpstr>
      <vt:lpstr>СП_20270401_feb6a2e0c7cd11f1863a005056b5e863</vt:lpstr>
      <vt:lpstr>СП_20270401_feb6a30bc7cd11f1863a005056b5e863</vt:lpstr>
      <vt:lpstr>СП_20270401_feb6a310c7cd11f1863a005056b5e863</vt:lpstr>
      <vt:lpstr>СП_20270401_feb6a316c7cd11f1863a005056b5e863</vt:lpstr>
      <vt:lpstr>СП_20270401_feb6a31dc7cd11f1863a005056b5e863</vt:lpstr>
      <vt:lpstr>СП_20270401_feb6a325c7cd11f1863a005056b5e863</vt:lpstr>
      <vt:lpstr>СП_20270401_feb6a328c7cd11f1863a005056b5e863</vt:lpstr>
      <vt:lpstr>СП_20270401_feb6a32bc7cd11f1863a005056b5e863</vt:lpstr>
      <vt:lpstr>СП_20270401_feb6a332c7cd11f1863a005056b5e863</vt:lpstr>
      <vt:lpstr>СП_20270401_feb6a339c7cd11f1863a005056b5e863</vt:lpstr>
      <vt:lpstr>СП_20270401_feb6a33dc7cd11f1863a005056b5e863</vt:lpstr>
      <vt:lpstr>СП_20270401_ffc1afcac85811f083a1005056b5170a</vt:lpstr>
      <vt:lpstr>СП_20270501_018a9487c7b411f083a1005056b5170a</vt:lpstr>
      <vt:lpstr>СП_20270501_036681dbc84811f083a1005056b5170a</vt:lpstr>
      <vt:lpstr>СП_20270501_03e74c0fc7d911f083a1005056b5170a</vt:lpstr>
      <vt:lpstr>СП_20270501_05104b79c7a811f083a1005056b5170a</vt:lpstr>
      <vt:lpstr>СП_20270501_0bb19101c85911f083a1005056b5170a</vt:lpstr>
      <vt:lpstr>СП_20270501_0db71d62c84611f083a1005056b5170a</vt:lpstr>
      <vt:lpstr>СП_20270501_1421d8301d4811f183c7005056b5170a</vt:lpstr>
      <vt:lpstr>СП_20270501_163680a8c7d611f083a1005056b5170a</vt:lpstr>
      <vt:lpstr>СП_20270501_16fb1a53c7a811f083a1005056b5170a</vt:lpstr>
      <vt:lpstr>СП_20270501_184a45cfc7d711f083a1005056b5170a</vt:lpstr>
      <vt:lpstr>СП_20270501_196bb604c7b411f083a1005056b5170a</vt:lpstr>
      <vt:lpstr>СП_20270501_1a614068928811ee8376005056a1be4c</vt:lpstr>
      <vt:lpstr>СП_20270501_1a684706c84611f083a1005056b5170a</vt:lpstr>
      <vt:lpstr>СП_20270501_1daed84fc7b511f083a1005056b5170a</vt:lpstr>
      <vt:lpstr>СП_20270501_22a01918c7aa11f083a1005056b5170a</vt:lpstr>
      <vt:lpstr>СП_20270501_25fb3b91c7d611f083a1005056b5170a</vt:lpstr>
      <vt:lpstr>СП_20270501_271acd8d928811ee8376005056a1be4c</vt:lpstr>
      <vt:lpstr>СП_20270501_28c78a1ec7d711f083a1005056b5170a</vt:lpstr>
      <vt:lpstr>СП_20270501_2f74b944c7d811f083a1005056b5170a</vt:lpstr>
      <vt:lpstr>СП_20270501_31632d0cc7d611f083a1005056b5170a</vt:lpstr>
      <vt:lpstr>СП_20270501_33d4cd4f213211f183c7005056b5170a</vt:lpstr>
      <vt:lpstr>СП_20270501_34aab0c2990f11ef8384005056b5170a</vt:lpstr>
      <vt:lpstr>СП_20270501_355043d4c7d711f083a1005056b5170a</vt:lpstr>
      <vt:lpstr>СП_20270501_389f4057c7cb11f083a1005056b5170a</vt:lpstr>
      <vt:lpstr>СП_20270501_3a95d75e928a11ee8376005056a1be4c</vt:lpstr>
      <vt:lpstr>СП_20270501_3bd8087fc7d611f083a1005056b5170a</vt:lpstr>
      <vt:lpstr>СП_20270501_3c712981dfb011e982ef005056a1be4c</vt:lpstr>
      <vt:lpstr>СП_20270501_3f2ff9d6a5b011ef8384005056b5170a</vt:lpstr>
      <vt:lpstr>СП_20270501_445c2761c7b511f083a1005056b5170a</vt:lpstr>
      <vt:lpstr>СП_20270501_4613411b213211f183c7005056b5170a</vt:lpstr>
      <vt:lpstr>СП_20270501_46829e96c7d711f083a1005056b5170a</vt:lpstr>
      <vt:lpstr>СП_20270501_477830aa94da11ee8376005056a1be4c</vt:lpstr>
      <vt:lpstr>СП_20270501_483ec6637b9911f18638005056b5e863</vt:lpstr>
      <vt:lpstr>СП_20270501_49fa47b0c7d611f083a1005056b5170a</vt:lpstr>
      <vt:lpstr>СП_20270501_55eb4f8fc7d611f083a1005056b5170a</vt:lpstr>
      <vt:lpstr>СП_20270501_584645171d5511f183c7005056b5170a</vt:lpstr>
      <vt:lpstr>СП_20270501_5b33182ac7b611f083a1005056b5170a</vt:lpstr>
      <vt:lpstr>СП_20270501_5e534b9ac7aa11f083a1005056b5170a</vt:lpstr>
      <vt:lpstr>СП_20270501_6244c5e8c84711f083a1005056b5170a</vt:lpstr>
      <vt:lpstr>СП_20270501_6277513ac7b711f083a1005056b5170a</vt:lpstr>
      <vt:lpstr>СП_20270501_63f6fb3ae48911f083a6005056b5170a</vt:lpstr>
      <vt:lpstr>СП_20270501_6dcdcaa9c7d611f083a1005056b5170a</vt:lpstr>
      <vt:lpstr>СП_20270501_6ec5bd18c7aa11f083a1005056b5170a</vt:lpstr>
      <vt:lpstr>СП_20270501_74e570081d4811f183c7005056b5170a</vt:lpstr>
      <vt:lpstr>СП_20270501_77e5b212695b11f18638005056b5e863</vt:lpstr>
      <vt:lpstr>СП_20270501_7c5e7d4fc7aa11f083a1005056b5170a</vt:lpstr>
      <vt:lpstr>СП_20270501_806711dd1d5511f183c7005056b5170a</vt:lpstr>
      <vt:lpstr>СП_20270501_85aa1e2d1d4f11f183c7005056b5170a</vt:lpstr>
      <vt:lpstr>СП_20270501_8e478e15c7aa11f083a1005056b5170a</vt:lpstr>
      <vt:lpstr>СП_20270501_9205e61ac7a011f083a1005056b5170a</vt:lpstr>
      <vt:lpstr>СП_20270501_93e92e58c94711f083a3005056b5170a</vt:lpstr>
      <vt:lpstr>СП_20270501_953ba8c5695b11f18638005056b5e863</vt:lpstr>
      <vt:lpstr>СП_20270501_9de962cac84711f083a1005056b5170a</vt:lpstr>
      <vt:lpstr>СП_20270501_9e642f621d4f11f183c7005056b5170a</vt:lpstr>
      <vt:lpstr>СП_20270501_a477ec4f545211f183c8005056b5170a</vt:lpstr>
      <vt:lpstr>СП_20270501_aa40973a1d4a11f183c7005056b5170a</vt:lpstr>
      <vt:lpstr>СП_20270501_ab1ef3c9c7cc11f083a1005056b5170a</vt:lpstr>
      <vt:lpstr>СП_20270501_ab6bfd2cc7d811f083a1005056b5170a</vt:lpstr>
      <vt:lpstr>СП_20270501_b1def38f1d5511f183c7005056b5170a</vt:lpstr>
      <vt:lpstr>СП_20270501_b3b0d47f1d5011f183c7005056b5170a</vt:lpstr>
      <vt:lpstr>СП_20270501_b414fc5ac85811f083a1005056b5170a</vt:lpstr>
      <vt:lpstr>СП_20270501_b438366e4cd911e680db005056a1088b</vt:lpstr>
      <vt:lpstr>СП_20270501_b4431256c7a611f083a1005056b5170a</vt:lpstr>
      <vt:lpstr>СП_20270501_bc7a7d01c7d811f083a1005056b5170a</vt:lpstr>
      <vt:lpstr>СП_20270501_be8eb25fc7cc11f083a1005056b5170a</vt:lpstr>
      <vt:lpstr>СП_20270501_bf6525441d5111f183c7005056b5170a</vt:lpstr>
      <vt:lpstr>СП_20270501_c0422569c7d611f083a1005056b5170a</vt:lpstr>
      <vt:lpstr>СП_20270501_c4d393ccc85911f083a1005056b5170a</vt:lpstr>
      <vt:lpstr>СП_20270501_c64e660926bd11f183c7005056b5170a</vt:lpstr>
      <vt:lpstr>СП_20270501_c7add6cc6a4811e4805ad4ae526f013e</vt:lpstr>
      <vt:lpstr>СП_20270501_c7add6cd6a4811e4805ad4ae526f013e</vt:lpstr>
      <vt:lpstr>СП_20270501_c7add6d06a4811e4805ad4ae526f013e</vt:lpstr>
      <vt:lpstr>СП_20270501_c7add6d26a4811e4805ad4ae526f013e</vt:lpstr>
      <vt:lpstr>СП_20270501_c7add6d36a4811e4805ad4ae526f013e</vt:lpstr>
      <vt:lpstr>СП_20270501_c7add6d46a4811e4805ad4ae526f013e</vt:lpstr>
      <vt:lpstr>СП_20270501_c7add6d76a4811e4805ad4ae526f013e</vt:lpstr>
      <vt:lpstr>СП_20270501_c7add6ea6a4811e4805ad4ae526f013e</vt:lpstr>
      <vt:lpstr>СП_20270501_c7add6ed6a4811e4805ad4ae526f013e</vt:lpstr>
      <vt:lpstr>СП_20270501_c7add6f66a4811e4805ad4ae526f013e</vt:lpstr>
      <vt:lpstr>СП_20270501_c7add6f76a4811e4805ad4ae526f013e</vt:lpstr>
      <vt:lpstr>СП_20270501_c7add6ff6a4811e4805ad4ae526f013e</vt:lpstr>
      <vt:lpstr>СП_20270501_c7add7016a4811e4805ad4ae526f013e</vt:lpstr>
      <vt:lpstr>СП_20270501_c7add7026a4811e4805ad4ae526f013e</vt:lpstr>
      <vt:lpstr>СП_20270501_c7add7046a4811e4805ad4ae526f013e</vt:lpstr>
      <vt:lpstr>СП_20270501_c7add7056a4811e4805ad4ae526f013e</vt:lpstr>
      <vt:lpstr>СП_20270501_c7add7066a4811e4805ad4ae526f013e</vt:lpstr>
      <vt:lpstr>СП_20270501_c7add7076a4811e4805ad4ae526f013e</vt:lpstr>
      <vt:lpstr>СП_20270501_c7add7266a4811e4805ad4ae526f013e</vt:lpstr>
      <vt:lpstr>СП_20270501_cc91985fc7d811f083a1005056b5170a</vt:lpstr>
      <vt:lpstr>СП_20270501_ccbf0ec5c7cc11f083a1005056b5170a</vt:lpstr>
      <vt:lpstr>СП_20270501_ce12a12494db11ee8376005056a1be4c</vt:lpstr>
      <vt:lpstr>СП_20270501_d0ff26e8c84511f083a1005056b5170a</vt:lpstr>
      <vt:lpstr>СП_20270501_d1196183c7d611f083a1005056b5170a</vt:lpstr>
      <vt:lpstr>СП_20270501_d450ad9cc84311f083a1005056b5170a</vt:lpstr>
      <vt:lpstr>СП_20270501_d56e8e951d4911f183c7005056b5170a</vt:lpstr>
      <vt:lpstr>СП_20270501_d9a415b3c7d611f083a1005056b5170a</vt:lpstr>
      <vt:lpstr>СП_20270501_dc23c215c7d511f083a1005056b5170a</vt:lpstr>
      <vt:lpstr>СП_20270501_de2933d4c85911f083a1005056b5170a</vt:lpstr>
      <vt:lpstr>СП_20270501_e0d93d37c7cc11f083a1005056b5170a</vt:lpstr>
      <vt:lpstr>СП_20270501_e21f8f63c7d711f083a1005056b5170a</vt:lpstr>
      <vt:lpstr>СП_20270501_e47771ec94dc11ee8376005056a1be4c</vt:lpstr>
      <vt:lpstr>СП_20270501_e5e5c84ec7d811f083a1005056b5170a</vt:lpstr>
      <vt:lpstr>СП_20270501_e7dd9c1c94db11ee8376005056a1be4c</vt:lpstr>
      <vt:lpstr>СП_20270501_eaf11e23c85911f083a1005056b5170a</vt:lpstr>
      <vt:lpstr>СП_20270501_ec74db8b1d5011f183c7005056b5170a</vt:lpstr>
      <vt:lpstr>СП_20270501_eda9216ec7cc11f083a1005056b5170a</vt:lpstr>
      <vt:lpstr>СП_20270501_f15872d1c7d811f083a1005056b5170a</vt:lpstr>
      <vt:lpstr>СП_20270501_f3278a99c7a711f083a1005056b5170a</vt:lpstr>
      <vt:lpstr>СП_20270501_f38ae66bc7d711f083a1005056b5170a</vt:lpstr>
      <vt:lpstr>СП_20270501_f3d09913c85811f083a1005056b5170a</vt:lpstr>
      <vt:lpstr>СП_20270501_f3f3b17d1d4911f183c7005056b5170a</vt:lpstr>
      <vt:lpstr>СП_20270501_f6bf7d1ec7b411f083a1005056b5170a</vt:lpstr>
      <vt:lpstr>СП_20270501_f8b81fd3c7cd11f1863a005056b5e863</vt:lpstr>
      <vt:lpstr>СП_20270501_f8b81fd4c7cd11f1863a005056b5e863</vt:lpstr>
      <vt:lpstr>СП_20270501_f8b81fd7c7cd11f1863a005056b5e863</vt:lpstr>
      <vt:lpstr>СП_20270501_f8b81fdfc7cd11f1863a005056b5e863</vt:lpstr>
      <vt:lpstr>СП_20270501_f8b81ffcc7cd11f1863a005056b5e863</vt:lpstr>
      <vt:lpstr>СП_20270501_f8b81ffdc7cd11f1863a005056b5e863</vt:lpstr>
      <vt:lpstr>СП_20270501_f8b82002c7cd11f1863a005056b5e863</vt:lpstr>
      <vt:lpstr>СП_20270501_f8b82007c7cd11f1863a005056b5e863</vt:lpstr>
      <vt:lpstr>СП_20270501_f92069c8c84711f083a1005056b5170a</vt:lpstr>
      <vt:lpstr>СП_20270501_f9883edd0bfd11f183c6005056b5170a</vt:lpstr>
      <vt:lpstr>СП_20270501_fc80b55ac7cc11f083a1005056b5170a</vt:lpstr>
      <vt:lpstr>СП_20270501_fdbd26b794dc11ee8376005056a1be4c</vt:lpstr>
      <vt:lpstr>СП_20270501_feb6a2a0c7cd11f1863a005056b5e863</vt:lpstr>
      <vt:lpstr>СП_20270501_feb6a2a7c7cd11f1863a005056b5e863</vt:lpstr>
      <vt:lpstr>СП_20270501_feb6a2afc7cd11f1863a005056b5e863</vt:lpstr>
      <vt:lpstr>СП_20270501_feb6a2e0c7cd11f1863a005056b5e863</vt:lpstr>
      <vt:lpstr>СП_20270501_feb6a30bc7cd11f1863a005056b5e863</vt:lpstr>
      <vt:lpstr>СП_20270501_feb6a310c7cd11f1863a005056b5e863</vt:lpstr>
      <vt:lpstr>СП_20270501_feb6a316c7cd11f1863a005056b5e863</vt:lpstr>
      <vt:lpstr>СП_20270501_feb6a31dc7cd11f1863a005056b5e863</vt:lpstr>
      <vt:lpstr>СП_20270501_feb6a325c7cd11f1863a005056b5e863</vt:lpstr>
      <vt:lpstr>СП_20270501_feb6a328c7cd11f1863a005056b5e863</vt:lpstr>
      <vt:lpstr>СП_20270501_feb6a32bc7cd11f1863a005056b5e863</vt:lpstr>
      <vt:lpstr>СП_20270501_feb6a332c7cd11f1863a005056b5e863</vt:lpstr>
      <vt:lpstr>СП_20270501_feb6a339c7cd11f1863a005056b5e863</vt:lpstr>
      <vt:lpstr>СП_20270501_feb6a33dc7cd11f1863a005056b5e863</vt:lpstr>
      <vt:lpstr>СП_20270501_ffc1afcac85811f083a1005056b5170a</vt:lpstr>
      <vt:lpstr>СП_20270601_018a9487c7b411f083a1005056b5170a</vt:lpstr>
      <vt:lpstr>СП_20270601_036681dbc84811f083a1005056b5170a</vt:lpstr>
      <vt:lpstr>СП_20270601_03e74c0fc7d911f083a1005056b5170a</vt:lpstr>
      <vt:lpstr>СП_20270601_05104b79c7a811f083a1005056b5170a</vt:lpstr>
      <vt:lpstr>СП_20270601_0bb19101c85911f083a1005056b5170a</vt:lpstr>
      <vt:lpstr>СП_20270601_0db71d62c84611f083a1005056b5170a</vt:lpstr>
      <vt:lpstr>СП_20270601_1421d8301d4811f183c7005056b5170a</vt:lpstr>
      <vt:lpstr>СП_20270601_163680a8c7d611f083a1005056b5170a</vt:lpstr>
      <vt:lpstr>СП_20270601_16fb1a53c7a811f083a1005056b5170a</vt:lpstr>
      <vt:lpstr>СП_20270601_184a45cfc7d711f083a1005056b5170a</vt:lpstr>
      <vt:lpstr>СП_20270601_196bb604c7b411f083a1005056b5170a</vt:lpstr>
      <vt:lpstr>СП_20270601_1a614068928811ee8376005056a1be4c</vt:lpstr>
      <vt:lpstr>СП_20270601_1a684706c84611f083a1005056b5170a</vt:lpstr>
      <vt:lpstr>СП_20270601_1daed84fc7b511f083a1005056b5170a</vt:lpstr>
      <vt:lpstr>СП_20270601_22a01918c7aa11f083a1005056b5170a</vt:lpstr>
      <vt:lpstr>СП_20270601_25fb3b91c7d611f083a1005056b5170a</vt:lpstr>
      <vt:lpstr>СП_20270601_271acd8d928811ee8376005056a1be4c</vt:lpstr>
      <vt:lpstr>СП_20270601_28c78a1ec7d711f083a1005056b5170a</vt:lpstr>
      <vt:lpstr>СП_20270601_2f74b944c7d811f083a1005056b5170a</vt:lpstr>
      <vt:lpstr>СП_20270601_31632d0cc7d611f083a1005056b5170a</vt:lpstr>
      <vt:lpstr>СП_20270601_33d4cd4f213211f183c7005056b5170a</vt:lpstr>
      <vt:lpstr>СП_20270601_34aab0c2990f11ef8384005056b5170a</vt:lpstr>
      <vt:lpstr>СП_20270601_355043d4c7d711f083a1005056b5170a</vt:lpstr>
      <vt:lpstr>СП_20270601_389f4057c7cb11f083a1005056b5170a</vt:lpstr>
      <vt:lpstr>СП_20270601_3a95d75e928a11ee8376005056a1be4c</vt:lpstr>
      <vt:lpstr>СП_20270601_3bd8087fc7d611f083a1005056b5170a</vt:lpstr>
      <vt:lpstr>СП_20270601_3c712981dfb011e982ef005056a1be4c</vt:lpstr>
      <vt:lpstr>СП_20270601_3f2ff9d6a5b011ef8384005056b5170a</vt:lpstr>
      <vt:lpstr>СП_20270601_445c2761c7b511f083a1005056b5170a</vt:lpstr>
      <vt:lpstr>СП_20270601_4613411b213211f183c7005056b5170a</vt:lpstr>
      <vt:lpstr>СП_20270601_46829e96c7d711f083a1005056b5170a</vt:lpstr>
      <vt:lpstr>СП_20270601_477830aa94da11ee8376005056a1be4c</vt:lpstr>
      <vt:lpstr>СП_20270601_483ec6637b9911f18638005056b5e863</vt:lpstr>
      <vt:lpstr>СП_20270601_49fa47b0c7d611f083a1005056b5170a</vt:lpstr>
      <vt:lpstr>СП_20270601_55eb4f8fc7d611f083a1005056b5170a</vt:lpstr>
      <vt:lpstr>СП_20270601_584645171d5511f183c7005056b5170a</vt:lpstr>
      <vt:lpstr>СП_20270601_5b33182ac7b611f083a1005056b5170a</vt:lpstr>
      <vt:lpstr>СП_20270601_5e534b9ac7aa11f083a1005056b5170a</vt:lpstr>
      <vt:lpstr>СП_20270601_6244c5e8c84711f083a1005056b5170a</vt:lpstr>
      <vt:lpstr>СП_20270601_6277513ac7b711f083a1005056b5170a</vt:lpstr>
      <vt:lpstr>СП_20270601_63f6fb3ae48911f083a6005056b5170a</vt:lpstr>
      <vt:lpstr>СП_20270601_6dcdcaa9c7d611f083a1005056b5170a</vt:lpstr>
      <vt:lpstr>СП_20270601_6ec5bd18c7aa11f083a1005056b5170a</vt:lpstr>
      <vt:lpstr>СП_20270601_74e570081d4811f183c7005056b5170a</vt:lpstr>
      <vt:lpstr>СП_20270601_77e5b212695b11f18638005056b5e863</vt:lpstr>
      <vt:lpstr>СП_20270601_7c5e7d4fc7aa11f083a1005056b5170a</vt:lpstr>
      <vt:lpstr>СП_20270601_806711dd1d5511f183c7005056b5170a</vt:lpstr>
      <vt:lpstr>СП_20270601_85aa1e2d1d4f11f183c7005056b5170a</vt:lpstr>
      <vt:lpstr>СП_20270601_8e478e15c7aa11f083a1005056b5170a</vt:lpstr>
      <vt:lpstr>СП_20270601_9205e61ac7a011f083a1005056b5170a</vt:lpstr>
      <vt:lpstr>СП_20270601_93e92e58c94711f083a3005056b5170a</vt:lpstr>
      <vt:lpstr>СП_20270601_953ba8c5695b11f18638005056b5e863</vt:lpstr>
      <vt:lpstr>СП_20270601_9de962cac84711f083a1005056b5170a</vt:lpstr>
      <vt:lpstr>СП_20270601_9e642f621d4f11f183c7005056b5170a</vt:lpstr>
      <vt:lpstr>СП_20270601_a477ec4f545211f183c8005056b5170a</vt:lpstr>
      <vt:lpstr>СП_20270601_aa40973a1d4a11f183c7005056b5170a</vt:lpstr>
      <vt:lpstr>СП_20270601_ab1ef3c9c7cc11f083a1005056b5170a</vt:lpstr>
      <vt:lpstr>СП_20270601_ab6bfd2cc7d811f083a1005056b5170a</vt:lpstr>
      <vt:lpstr>СП_20270601_b1def38f1d5511f183c7005056b5170a</vt:lpstr>
      <vt:lpstr>СП_20270601_b3b0d47f1d5011f183c7005056b5170a</vt:lpstr>
      <vt:lpstr>СП_20270601_b414fc5ac85811f083a1005056b5170a</vt:lpstr>
      <vt:lpstr>СП_20270601_b438366e4cd911e680db005056a1088b</vt:lpstr>
      <vt:lpstr>СП_20270601_b4431256c7a611f083a1005056b5170a</vt:lpstr>
      <vt:lpstr>СП_20270601_bc7a7d01c7d811f083a1005056b5170a</vt:lpstr>
      <vt:lpstr>СП_20270601_be8eb25fc7cc11f083a1005056b5170a</vt:lpstr>
      <vt:lpstr>СП_20270601_bf6525441d5111f183c7005056b5170a</vt:lpstr>
      <vt:lpstr>СП_20270601_c0422569c7d611f083a1005056b5170a</vt:lpstr>
      <vt:lpstr>СП_20270601_c4d393ccc85911f083a1005056b5170a</vt:lpstr>
      <vt:lpstr>СП_20270601_c64e660926bd11f183c7005056b5170a</vt:lpstr>
      <vt:lpstr>СП_20270601_c7add6cc6a4811e4805ad4ae526f013e</vt:lpstr>
      <vt:lpstr>СП_20270601_c7add6cd6a4811e4805ad4ae526f013e</vt:lpstr>
      <vt:lpstr>СП_20270601_c7add6d06a4811e4805ad4ae526f013e</vt:lpstr>
      <vt:lpstr>СП_20270601_c7add6d26a4811e4805ad4ae526f013e</vt:lpstr>
      <vt:lpstr>СП_20270601_c7add6d36a4811e4805ad4ae526f013e</vt:lpstr>
      <vt:lpstr>СП_20270601_c7add6d46a4811e4805ad4ae526f013e</vt:lpstr>
      <vt:lpstr>СП_20270601_c7add6d76a4811e4805ad4ae526f013e</vt:lpstr>
      <vt:lpstr>СП_20270601_c7add6ea6a4811e4805ad4ae526f013e</vt:lpstr>
      <vt:lpstr>СП_20270601_c7add6ed6a4811e4805ad4ae526f013e</vt:lpstr>
      <vt:lpstr>СП_20270601_c7add6f66a4811e4805ad4ae526f013e</vt:lpstr>
      <vt:lpstr>СП_20270601_c7add6f76a4811e4805ad4ae526f013e</vt:lpstr>
      <vt:lpstr>СП_20270601_c7add6ff6a4811e4805ad4ae526f013e</vt:lpstr>
      <vt:lpstr>СП_20270601_c7add7016a4811e4805ad4ae526f013e</vt:lpstr>
      <vt:lpstr>СП_20270601_c7add7026a4811e4805ad4ae526f013e</vt:lpstr>
      <vt:lpstr>СП_20270601_c7add7046a4811e4805ad4ae526f013e</vt:lpstr>
      <vt:lpstr>СП_20270601_c7add7056a4811e4805ad4ae526f013e</vt:lpstr>
      <vt:lpstr>СП_20270601_c7add7066a4811e4805ad4ae526f013e</vt:lpstr>
      <vt:lpstr>СП_20270601_c7add7076a4811e4805ad4ae526f013e</vt:lpstr>
      <vt:lpstr>СП_20270601_c7add7266a4811e4805ad4ae526f013e</vt:lpstr>
      <vt:lpstr>СП_20270601_cc91985fc7d811f083a1005056b5170a</vt:lpstr>
      <vt:lpstr>СП_20270601_ccbf0ec5c7cc11f083a1005056b5170a</vt:lpstr>
      <vt:lpstr>СП_20270601_ce12a12494db11ee8376005056a1be4c</vt:lpstr>
      <vt:lpstr>СП_20270601_d0ff26e8c84511f083a1005056b5170a</vt:lpstr>
      <vt:lpstr>СП_20270601_d1196183c7d611f083a1005056b5170a</vt:lpstr>
      <vt:lpstr>СП_20270601_d450ad9cc84311f083a1005056b5170a</vt:lpstr>
      <vt:lpstr>СП_20270601_d56e8e951d4911f183c7005056b5170a</vt:lpstr>
      <vt:lpstr>СП_20270601_d9a415b3c7d611f083a1005056b5170a</vt:lpstr>
      <vt:lpstr>СП_20270601_dc23c215c7d511f083a1005056b5170a</vt:lpstr>
      <vt:lpstr>СП_20270601_de2933d4c85911f083a1005056b5170a</vt:lpstr>
      <vt:lpstr>СП_20270601_e0d93d37c7cc11f083a1005056b5170a</vt:lpstr>
      <vt:lpstr>СП_20270601_e21f8f63c7d711f083a1005056b5170a</vt:lpstr>
      <vt:lpstr>СП_20270601_e47771ec94dc11ee8376005056a1be4c</vt:lpstr>
      <vt:lpstr>СП_20270601_e5e5c84ec7d811f083a1005056b5170a</vt:lpstr>
      <vt:lpstr>СП_20270601_e7dd9c1c94db11ee8376005056a1be4c</vt:lpstr>
      <vt:lpstr>СП_20270601_eaf11e23c85911f083a1005056b5170a</vt:lpstr>
      <vt:lpstr>СП_20270601_ec74db8b1d5011f183c7005056b5170a</vt:lpstr>
      <vt:lpstr>СП_20270601_eda9216ec7cc11f083a1005056b5170a</vt:lpstr>
      <vt:lpstr>СП_20270601_f15872d1c7d811f083a1005056b5170a</vt:lpstr>
      <vt:lpstr>СП_20270601_f3278a99c7a711f083a1005056b5170a</vt:lpstr>
      <vt:lpstr>СП_20270601_f38ae66bc7d711f083a1005056b5170a</vt:lpstr>
      <vt:lpstr>СП_20270601_f3d09913c85811f083a1005056b5170a</vt:lpstr>
      <vt:lpstr>СП_20270601_f3f3b17d1d4911f183c7005056b5170a</vt:lpstr>
      <vt:lpstr>СП_20270601_f6bf7d1ec7b411f083a1005056b5170a</vt:lpstr>
      <vt:lpstr>СП_20270601_f8b81fd3c7cd11f1863a005056b5e863</vt:lpstr>
      <vt:lpstr>СП_20270601_f8b81fd4c7cd11f1863a005056b5e863</vt:lpstr>
      <vt:lpstr>СП_20270601_f8b81fd7c7cd11f1863a005056b5e863</vt:lpstr>
      <vt:lpstr>СП_20270601_f8b81fdfc7cd11f1863a005056b5e863</vt:lpstr>
      <vt:lpstr>СП_20270601_f8b81ffcc7cd11f1863a005056b5e863</vt:lpstr>
      <vt:lpstr>СП_20270601_f8b81ffdc7cd11f1863a005056b5e863</vt:lpstr>
      <vt:lpstr>СП_20270601_f8b82002c7cd11f1863a005056b5e863</vt:lpstr>
      <vt:lpstr>СП_20270601_f8b82007c7cd11f1863a005056b5e863</vt:lpstr>
      <vt:lpstr>СП_20270601_f92069c8c84711f083a1005056b5170a</vt:lpstr>
      <vt:lpstr>СП_20270601_f9883edd0bfd11f183c6005056b5170a</vt:lpstr>
      <vt:lpstr>СП_20270601_fc80b55ac7cc11f083a1005056b5170a</vt:lpstr>
      <vt:lpstr>СП_20270601_fdbd26b794dc11ee8376005056a1be4c</vt:lpstr>
      <vt:lpstr>СП_20270601_feb6a2a0c7cd11f1863a005056b5e863</vt:lpstr>
      <vt:lpstr>СП_20270601_feb6a2a7c7cd11f1863a005056b5e863</vt:lpstr>
      <vt:lpstr>СП_20270601_feb6a2afc7cd11f1863a005056b5e863</vt:lpstr>
      <vt:lpstr>СП_20270601_feb6a2e0c7cd11f1863a005056b5e863</vt:lpstr>
      <vt:lpstr>СП_20270601_feb6a30bc7cd11f1863a005056b5e863</vt:lpstr>
      <vt:lpstr>СП_20270601_feb6a310c7cd11f1863a005056b5e863</vt:lpstr>
      <vt:lpstr>СП_20270601_feb6a316c7cd11f1863a005056b5e863</vt:lpstr>
      <vt:lpstr>СП_20270601_feb6a31dc7cd11f1863a005056b5e863</vt:lpstr>
      <vt:lpstr>СП_20270601_feb6a325c7cd11f1863a005056b5e863</vt:lpstr>
      <vt:lpstr>СП_20270601_feb6a328c7cd11f1863a005056b5e863</vt:lpstr>
      <vt:lpstr>СП_20270601_feb6a32bc7cd11f1863a005056b5e863</vt:lpstr>
      <vt:lpstr>СП_20270601_feb6a332c7cd11f1863a005056b5e863</vt:lpstr>
      <vt:lpstr>СП_20270601_feb6a339c7cd11f1863a005056b5e863</vt:lpstr>
      <vt:lpstr>СП_20270601_feb6a33dc7cd11f1863a005056b5e863</vt:lpstr>
      <vt:lpstr>СП_20270601_ffc1afcac85811f083a1005056b5170a</vt:lpstr>
      <vt:lpstr>СП_20270701_018a9487c7b411f083a1005056b5170a</vt:lpstr>
      <vt:lpstr>СП_20270701_036681dbc84811f083a1005056b5170a</vt:lpstr>
      <vt:lpstr>СП_20270701_03e74c0fc7d911f083a1005056b5170a</vt:lpstr>
      <vt:lpstr>СП_20270701_05104b79c7a811f083a1005056b5170a</vt:lpstr>
      <vt:lpstr>СП_20270701_0bb19101c85911f083a1005056b5170a</vt:lpstr>
      <vt:lpstr>СП_20270701_0db71d62c84611f083a1005056b5170a</vt:lpstr>
      <vt:lpstr>СП_20270701_1421d8301d4811f183c7005056b5170a</vt:lpstr>
      <vt:lpstr>СП_20270701_163680a8c7d611f083a1005056b5170a</vt:lpstr>
      <vt:lpstr>СП_20270701_16fb1a53c7a811f083a1005056b5170a</vt:lpstr>
      <vt:lpstr>СП_20270701_184a45cfc7d711f083a1005056b5170a</vt:lpstr>
      <vt:lpstr>СП_20270701_196bb604c7b411f083a1005056b5170a</vt:lpstr>
      <vt:lpstr>СП_20270701_1a614068928811ee8376005056a1be4c</vt:lpstr>
      <vt:lpstr>СП_20270701_1a684706c84611f083a1005056b5170a</vt:lpstr>
      <vt:lpstr>СП_20270701_1daed84fc7b511f083a1005056b5170a</vt:lpstr>
      <vt:lpstr>СП_20270701_22a01918c7aa11f083a1005056b5170a</vt:lpstr>
      <vt:lpstr>СП_20270701_25fb3b91c7d611f083a1005056b5170a</vt:lpstr>
      <vt:lpstr>СП_20270701_271acd8d928811ee8376005056a1be4c</vt:lpstr>
      <vt:lpstr>СП_20270701_28c78a1ec7d711f083a1005056b5170a</vt:lpstr>
      <vt:lpstr>СП_20270701_2f74b944c7d811f083a1005056b5170a</vt:lpstr>
      <vt:lpstr>СП_20270701_31632d0cc7d611f083a1005056b5170a</vt:lpstr>
      <vt:lpstr>СП_20270701_33d4cd4f213211f183c7005056b5170a</vt:lpstr>
      <vt:lpstr>СП_20270701_34aab0c2990f11ef8384005056b5170a</vt:lpstr>
      <vt:lpstr>СП_20270701_355043d4c7d711f083a1005056b5170a</vt:lpstr>
      <vt:lpstr>СП_20270701_389f4057c7cb11f083a1005056b5170a</vt:lpstr>
      <vt:lpstr>СП_20270701_3a95d75e928a11ee8376005056a1be4c</vt:lpstr>
      <vt:lpstr>СП_20270701_3bd8087fc7d611f083a1005056b5170a</vt:lpstr>
      <vt:lpstr>СП_20270701_3c712981dfb011e982ef005056a1be4c</vt:lpstr>
      <vt:lpstr>СП_20270701_3f2ff9d6a5b011ef8384005056b5170a</vt:lpstr>
      <vt:lpstr>СП_20270701_445c2761c7b511f083a1005056b5170a</vt:lpstr>
      <vt:lpstr>СП_20270701_4613411b213211f183c7005056b5170a</vt:lpstr>
      <vt:lpstr>СП_20270701_46829e96c7d711f083a1005056b5170a</vt:lpstr>
      <vt:lpstr>СП_20270701_477830aa94da11ee8376005056a1be4c</vt:lpstr>
      <vt:lpstr>СП_20270701_483ec6637b9911f18638005056b5e863</vt:lpstr>
      <vt:lpstr>СП_20270701_49fa47b0c7d611f083a1005056b5170a</vt:lpstr>
      <vt:lpstr>СП_20270701_55eb4f8fc7d611f083a1005056b5170a</vt:lpstr>
      <vt:lpstr>СП_20270701_584645171d5511f183c7005056b5170a</vt:lpstr>
      <vt:lpstr>СП_20270701_5b33182ac7b611f083a1005056b5170a</vt:lpstr>
      <vt:lpstr>СП_20270701_5e534b9ac7aa11f083a1005056b5170a</vt:lpstr>
      <vt:lpstr>СП_20270701_6244c5e8c84711f083a1005056b5170a</vt:lpstr>
      <vt:lpstr>СП_20270701_6277513ac7b711f083a1005056b5170a</vt:lpstr>
      <vt:lpstr>СП_20270701_63f6fb3ae48911f083a6005056b5170a</vt:lpstr>
      <vt:lpstr>СП_20270701_6dcdcaa9c7d611f083a1005056b5170a</vt:lpstr>
      <vt:lpstr>СП_20270701_6ec5bd18c7aa11f083a1005056b5170a</vt:lpstr>
      <vt:lpstr>СП_20270701_74e570081d4811f183c7005056b5170a</vt:lpstr>
      <vt:lpstr>СП_20270701_77e5b212695b11f18638005056b5e863</vt:lpstr>
      <vt:lpstr>СП_20270701_7c5e7d4fc7aa11f083a1005056b5170a</vt:lpstr>
      <vt:lpstr>СП_20270701_806711dd1d5511f183c7005056b5170a</vt:lpstr>
      <vt:lpstr>СП_20270701_85aa1e2d1d4f11f183c7005056b5170a</vt:lpstr>
      <vt:lpstr>СП_20270701_8e478e15c7aa11f083a1005056b5170a</vt:lpstr>
      <vt:lpstr>СП_20270701_9205e61ac7a011f083a1005056b5170a</vt:lpstr>
      <vt:lpstr>СП_20270701_93e92e58c94711f083a3005056b5170a</vt:lpstr>
      <vt:lpstr>СП_20270701_953ba8c5695b11f18638005056b5e863</vt:lpstr>
      <vt:lpstr>СП_20270701_9de962cac84711f083a1005056b5170a</vt:lpstr>
      <vt:lpstr>СП_20270701_9e642f621d4f11f183c7005056b5170a</vt:lpstr>
      <vt:lpstr>СП_20270701_a477ec4f545211f183c8005056b5170a</vt:lpstr>
      <vt:lpstr>СП_20270701_aa40973a1d4a11f183c7005056b5170a</vt:lpstr>
      <vt:lpstr>СП_20270701_ab1ef3c9c7cc11f083a1005056b5170a</vt:lpstr>
      <vt:lpstr>СП_20270701_ab6bfd2cc7d811f083a1005056b5170a</vt:lpstr>
      <vt:lpstr>СП_20270701_b1def38f1d5511f183c7005056b5170a</vt:lpstr>
      <vt:lpstr>СП_20270701_b3b0d47f1d5011f183c7005056b5170a</vt:lpstr>
      <vt:lpstr>СП_20270701_b414fc5ac85811f083a1005056b5170a</vt:lpstr>
      <vt:lpstr>СП_20270701_b438366e4cd911e680db005056a1088b</vt:lpstr>
      <vt:lpstr>СП_20270701_b4431256c7a611f083a1005056b5170a</vt:lpstr>
      <vt:lpstr>СП_20270701_bc7a7d01c7d811f083a1005056b5170a</vt:lpstr>
      <vt:lpstr>СП_20270701_be8eb25fc7cc11f083a1005056b5170a</vt:lpstr>
      <vt:lpstr>СП_20270701_bf6525441d5111f183c7005056b5170a</vt:lpstr>
      <vt:lpstr>СП_20270701_c0422569c7d611f083a1005056b5170a</vt:lpstr>
      <vt:lpstr>СП_20270701_c4d393ccc85911f083a1005056b5170a</vt:lpstr>
      <vt:lpstr>СП_20270701_c64e660926bd11f183c7005056b5170a</vt:lpstr>
      <vt:lpstr>СП_20270701_c7add6cc6a4811e4805ad4ae526f013e</vt:lpstr>
      <vt:lpstr>СП_20270701_c7add6cd6a4811e4805ad4ae526f013e</vt:lpstr>
      <vt:lpstr>СП_20270701_c7add6d06a4811e4805ad4ae526f013e</vt:lpstr>
      <vt:lpstr>СП_20270701_c7add6d26a4811e4805ad4ae526f013e</vt:lpstr>
      <vt:lpstr>СП_20270701_c7add6d36a4811e4805ad4ae526f013e</vt:lpstr>
      <vt:lpstr>СП_20270701_c7add6d46a4811e4805ad4ae526f013e</vt:lpstr>
      <vt:lpstr>СП_20270701_c7add6d76a4811e4805ad4ae526f013e</vt:lpstr>
      <vt:lpstr>СП_20270701_c7add6ea6a4811e4805ad4ae526f013e</vt:lpstr>
      <vt:lpstr>СП_20270701_c7add6ed6a4811e4805ad4ae526f013e</vt:lpstr>
      <vt:lpstr>СП_20270701_c7add6f66a4811e4805ad4ae526f013e</vt:lpstr>
      <vt:lpstr>СП_20270701_c7add6f76a4811e4805ad4ae526f013e</vt:lpstr>
      <vt:lpstr>СП_20270701_c7add6ff6a4811e4805ad4ae526f013e</vt:lpstr>
      <vt:lpstr>СП_20270701_c7add7016a4811e4805ad4ae526f013e</vt:lpstr>
      <vt:lpstr>СП_20270701_c7add7026a4811e4805ad4ae526f013e</vt:lpstr>
      <vt:lpstr>СП_20270701_c7add7046a4811e4805ad4ae526f013e</vt:lpstr>
      <vt:lpstr>СП_20270701_c7add7056a4811e4805ad4ae526f013e</vt:lpstr>
      <vt:lpstr>СП_20270701_c7add7066a4811e4805ad4ae526f013e</vt:lpstr>
      <vt:lpstr>СП_20270701_c7add7076a4811e4805ad4ae526f013e</vt:lpstr>
      <vt:lpstr>СП_20270701_c7add7266a4811e4805ad4ae526f013e</vt:lpstr>
      <vt:lpstr>СП_20270701_cc91985fc7d811f083a1005056b5170a</vt:lpstr>
      <vt:lpstr>СП_20270701_ccbf0ec5c7cc11f083a1005056b5170a</vt:lpstr>
      <vt:lpstr>СП_20270701_ce12a12494db11ee8376005056a1be4c</vt:lpstr>
      <vt:lpstr>СП_20270701_d0ff26e8c84511f083a1005056b5170a</vt:lpstr>
      <vt:lpstr>СП_20270701_d1196183c7d611f083a1005056b5170a</vt:lpstr>
      <vt:lpstr>СП_20270701_d450ad9cc84311f083a1005056b5170a</vt:lpstr>
      <vt:lpstr>СП_20270701_d56e8e951d4911f183c7005056b5170a</vt:lpstr>
      <vt:lpstr>СП_20270701_d9a415b3c7d611f083a1005056b5170a</vt:lpstr>
      <vt:lpstr>СП_20270701_dc23c215c7d511f083a1005056b5170a</vt:lpstr>
      <vt:lpstr>СП_20270701_de2933d4c85911f083a1005056b5170a</vt:lpstr>
      <vt:lpstr>СП_20270701_e0d93d37c7cc11f083a1005056b5170a</vt:lpstr>
      <vt:lpstr>СП_20270701_e21f8f63c7d711f083a1005056b5170a</vt:lpstr>
      <vt:lpstr>СП_20270701_e47771ec94dc11ee8376005056a1be4c</vt:lpstr>
      <vt:lpstr>СП_20270701_e5e5c84ec7d811f083a1005056b5170a</vt:lpstr>
      <vt:lpstr>СП_20270701_e7dd9c1c94db11ee8376005056a1be4c</vt:lpstr>
      <vt:lpstr>СП_20270701_eaf11e23c85911f083a1005056b5170a</vt:lpstr>
      <vt:lpstr>СП_20270701_ec74db8b1d5011f183c7005056b5170a</vt:lpstr>
      <vt:lpstr>СП_20270701_eda9216ec7cc11f083a1005056b5170a</vt:lpstr>
      <vt:lpstr>СП_20270701_f15872d1c7d811f083a1005056b5170a</vt:lpstr>
      <vt:lpstr>СП_20270701_f3278a99c7a711f083a1005056b5170a</vt:lpstr>
      <vt:lpstr>СП_20270701_f38ae66bc7d711f083a1005056b5170a</vt:lpstr>
      <vt:lpstr>СП_20270701_f3d09913c85811f083a1005056b5170a</vt:lpstr>
      <vt:lpstr>СП_20270701_f3f3b17d1d4911f183c7005056b5170a</vt:lpstr>
      <vt:lpstr>СП_20270701_f6bf7d1ec7b411f083a1005056b5170a</vt:lpstr>
      <vt:lpstr>СП_20270701_f8b81fd3c7cd11f1863a005056b5e863</vt:lpstr>
      <vt:lpstr>СП_20270701_f8b81fd4c7cd11f1863a005056b5e863</vt:lpstr>
      <vt:lpstr>СП_20270701_f8b81fd7c7cd11f1863a005056b5e863</vt:lpstr>
      <vt:lpstr>СП_20270701_f8b81fdfc7cd11f1863a005056b5e863</vt:lpstr>
      <vt:lpstr>СП_20270701_f8b81ffcc7cd11f1863a005056b5e863</vt:lpstr>
      <vt:lpstr>СП_20270701_f8b81ffdc7cd11f1863a005056b5e863</vt:lpstr>
      <vt:lpstr>СП_20270701_f8b82002c7cd11f1863a005056b5e863</vt:lpstr>
      <vt:lpstr>СП_20270701_f8b82007c7cd11f1863a005056b5e863</vt:lpstr>
      <vt:lpstr>СП_20270701_f92069c8c84711f083a1005056b5170a</vt:lpstr>
      <vt:lpstr>СП_20270701_f9883edd0bfd11f183c6005056b5170a</vt:lpstr>
      <vt:lpstr>СП_20270701_fc80b55ac7cc11f083a1005056b5170a</vt:lpstr>
      <vt:lpstr>СП_20270701_fdbd26b794dc11ee8376005056a1be4c</vt:lpstr>
      <vt:lpstr>СП_20270701_feb6a2a0c7cd11f1863a005056b5e863</vt:lpstr>
      <vt:lpstr>СП_20270701_feb6a2a7c7cd11f1863a005056b5e863</vt:lpstr>
      <vt:lpstr>СП_20270701_feb6a2afc7cd11f1863a005056b5e863</vt:lpstr>
      <vt:lpstr>СП_20270701_feb6a2e0c7cd11f1863a005056b5e863</vt:lpstr>
      <vt:lpstr>СП_20270701_feb6a30bc7cd11f1863a005056b5e863</vt:lpstr>
      <vt:lpstr>СП_20270701_feb6a310c7cd11f1863a005056b5e863</vt:lpstr>
      <vt:lpstr>СП_20270701_feb6a316c7cd11f1863a005056b5e863</vt:lpstr>
      <vt:lpstr>СП_20270701_feb6a31dc7cd11f1863a005056b5e863</vt:lpstr>
      <vt:lpstr>СП_20270701_feb6a325c7cd11f1863a005056b5e863</vt:lpstr>
      <vt:lpstr>СП_20270701_feb6a328c7cd11f1863a005056b5e863</vt:lpstr>
      <vt:lpstr>СП_20270701_feb6a32bc7cd11f1863a005056b5e863</vt:lpstr>
      <vt:lpstr>СП_20270701_feb6a332c7cd11f1863a005056b5e863</vt:lpstr>
      <vt:lpstr>СП_20270701_feb6a339c7cd11f1863a005056b5e863</vt:lpstr>
      <vt:lpstr>СП_20270701_feb6a33dc7cd11f1863a005056b5e863</vt:lpstr>
      <vt:lpstr>СП_20270701_ffc1afcac85811f083a1005056b5170a</vt:lpstr>
      <vt:lpstr>СП_20270801_018a9487c7b411f083a1005056b5170a</vt:lpstr>
      <vt:lpstr>СП_20270801_036681dbc84811f083a1005056b5170a</vt:lpstr>
      <vt:lpstr>СП_20270801_03e74c0fc7d911f083a1005056b5170a</vt:lpstr>
      <vt:lpstr>СП_20270801_05104b79c7a811f083a1005056b5170a</vt:lpstr>
      <vt:lpstr>СП_20270801_0bb19101c85911f083a1005056b5170a</vt:lpstr>
      <vt:lpstr>СП_20270801_0db71d62c84611f083a1005056b5170a</vt:lpstr>
      <vt:lpstr>СП_20270801_1421d8301d4811f183c7005056b5170a</vt:lpstr>
      <vt:lpstr>СП_20270801_163680a8c7d611f083a1005056b5170a</vt:lpstr>
      <vt:lpstr>СП_20270801_16fb1a53c7a811f083a1005056b5170a</vt:lpstr>
      <vt:lpstr>СП_20270801_184a45cfc7d711f083a1005056b5170a</vt:lpstr>
      <vt:lpstr>СП_20270801_196bb604c7b411f083a1005056b5170a</vt:lpstr>
      <vt:lpstr>СП_20270801_1a614068928811ee8376005056a1be4c</vt:lpstr>
      <vt:lpstr>СП_20270801_1a684706c84611f083a1005056b5170a</vt:lpstr>
      <vt:lpstr>СП_20270801_1daed84fc7b511f083a1005056b5170a</vt:lpstr>
      <vt:lpstr>СП_20270801_22a01918c7aa11f083a1005056b5170a</vt:lpstr>
      <vt:lpstr>СП_20270801_25fb3b91c7d611f083a1005056b5170a</vt:lpstr>
      <vt:lpstr>СП_20270801_271acd8d928811ee8376005056a1be4c</vt:lpstr>
      <vt:lpstr>СП_20270801_28c78a1ec7d711f083a1005056b5170a</vt:lpstr>
      <vt:lpstr>СП_20270801_2f74b944c7d811f083a1005056b5170a</vt:lpstr>
      <vt:lpstr>СП_20270801_31632d0cc7d611f083a1005056b5170a</vt:lpstr>
      <vt:lpstr>СП_20270801_33d4cd4f213211f183c7005056b5170a</vt:lpstr>
      <vt:lpstr>СП_20270801_34aab0c2990f11ef8384005056b5170a</vt:lpstr>
      <vt:lpstr>СП_20270801_355043d4c7d711f083a1005056b5170a</vt:lpstr>
      <vt:lpstr>СП_20270801_389f4057c7cb11f083a1005056b5170a</vt:lpstr>
      <vt:lpstr>СП_20270801_3a95d75e928a11ee8376005056a1be4c</vt:lpstr>
      <vt:lpstr>СП_20270801_3bd8087fc7d611f083a1005056b5170a</vt:lpstr>
      <vt:lpstr>СП_20270801_3c712981dfb011e982ef005056a1be4c</vt:lpstr>
      <vt:lpstr>СП_20270801_3f2ff9d6a5b011ef8384005056b5170a</vt:lpstr>
      <vt:lpstr>СП_20270801_445c2761c7b511f083a1005056b5170a</vt:lpstr>
      <vt:lpstr>СП_20270801_4613411b213211f183c7005056b5170a</vt:lpstr>
      <vt:lpstr>СП_20270801_46829e96c7d711f083a1005056b5170a</vt:lpstr>
      <vt:lpstr>СП_20270801_477830aa94da11ee8376005056a1be4c</vt:lpstr>
      <vt:lpstr>СП_20270801_483ec6637b9911f18638005056b5e863</vt:lpstr>
      <vt:lpstr>СП_20270801_49fa47b0c7d611f083a1005056b5170a</vt:lpstr>
      <vt:lpstr>СП_20270801_55eb4f8fc7d611f083a1005056b5170a</vt:lpstr>
      <vt:lpstr>СП_20270801_584645171d5511f183c7005056b5170a</vt:lpstr>
      <vt:lpstr>СП_20270801_5b33182ac7b611f083a1005056b5170a</vt:lpstr>
      <vt:lpstr>СП_20270801_5e534b9ac7aa11f083a1005056b5170a</vt:lpstr>
      <vt:lpstr>СП_20270801_6244c5e8c84711f083a1005056b5170a</vt:lpstr>
      <vt:lpstr>СП_20270801_6277513ac7b711f083a1005056b5170a</vt:lpstr>
      <vt:lpstr>СП_20270801_63f6fb3ae48911f083a6005056b5170a</vt:lpstr>
      <vt:lpstr>СП_20270801_6dcdcaa9c7d611f083a1005056b5170a</vt:lpstr>
      <vt:lpstr>СП_20270801_6ec5bd18c7aa11f083a1005056b5170a</vt:lpstr>
      <vt:lpstr>СП_20270801_74e570081d4811f183c7005056b5170a</vt:lpstr>
      <vt:lpstr>СП_20270801_77e5b212695b11f18638005056b5e863</vt:lpstr>
      <vt:lpstr>СП_20270801_7c5e7d4fc7aa11f083a1005056b5170a</vt:lpstr>
      <vt:lpstr>СП_20270801_806711dd1d5511f183c7005056b5170a</vt:lpstr>
      <vt:lpstr>СП_20270801_85aa1e2d1d4f11f183c7005056b5170a</vt:lpstr>
      <vt:lpstr>СП_20270801_8e478e15c7aa11f083a1005056b5170a</vt:lpstr>
      <vt:lpstr>СП_20270801_9205e61ac7a011f083a1005056b5170a</vt:lpstr>
      <vt:lpstr>СП_20270801_93e92e58c94711f083a3005056b5170a</vt:lpstr>
      <vt:lpstr>СП_20270801_953ba8c5695b11f18638005056b5e863</vt:lpstr>
      <vt:lpstr>СП_20270801_9de962cac84711f083a1005056b5170a</vt:lpstr>
      <vt:lpstr>СП_20270801_9e642f621d4f11f183c7005056b5170a</vt:lpstr>
      <vt:lpstr>СП_20270801_a477ec4f545211f183c8005056b5170a</vt:lpstr>
      <vt:lpstr>СП_20270801_aa40973a1d4a11f183c7005056b5170a</vt:lpstr>
      <vt:lpstr>СП_20270801_ab1ef3c9c7cc11f083a1005056b5170a</vt:lpstr>
      <vt:lpstr>СП_20270801_ab6bfd2cc7d811f083a1005056b5170a</vt:lpstr>
      <vt:lpstr>СП_20270801_b1def38f1d5511f183c7005056b5170a</vt:lpstr>
      <vt:lpstr>СП_20270801_b3b0d47f1d5011f183c7005056b5170a</vt:lpstr>
      <vt:lpstr>СП_20270801_b414fc5ac85811f083a1005056b5170a</vt:lpstr>
      <vt:lpstr>СП_20270801_b438366e4cd911e680db005056a1088b</vt:lpstr>
      <vt:lpstr>СП_20270801_b4431256c7a611f083a1005056b5170a</vt:lpstr>
      <vt:lpstr>СП_20270801_bc7a7d01c7d811f083a1005056b5170a</vt:lpstr>
      <vt:lpstr>СП_20270801_be8eb25fc7cc11f083a1005056b5170a</vt:lpstr>
      <vt:lpstr>СП_20270801_bf6525441d5111f183c7005056b5170a</vt:lpstr>
      <vt:lpstr>СП_20270801_c0422569c7d611f083a1005056b5170a</vt:lpstr>
      <vt:lpstr>СП_20270801_c4d393ccc85911f083a1005056b5170a</vt:lpstr>
      <vt:lpstr>СП_20270801_c64e660926bd11f183c7005056b5170a</vt:lpstr>
      <vt:lpstr>СП_20270801_c7add6cc6a4811e4805ad4ae526f013e</vt:lpstr>
      <vt:lpstr>СП_20270801_c7add6cd6a4811e4805ad4ae526f013e</vt:lpstr>
      <vt:lpstr>СП_20270801_c7add6d06a4811e4805ad4ae526f013e</vt:lpstr>
      <vt:lpstr>СП_20270801_c7add6d26a4811e4805ad4ae526f013e</vt:lpstr>
      <vt:lpstr>СП_20270801_c7add6d36a4811e4805ad4ae526f013e</vt:lpstr>
      <vt:lpstr>СП_20270801_c7add6d46a4811e4805ad4ae526f013e</vt:lpstr>
      <vt:lpstr>СП_20270801_c7add6d76a4811e4805ad4ae526f013e</vt:lpstr>
      <vt:lpstr>СП_20270801_c7add6ea6a4811e4805ad4ae526f013e</vt:lpstr>
      <vt:lpstr>СП_20270801_c7add6ed6a4811e4805ad4ae526f013e</vt:lpstr>
      <vt:lpstr>СП_20270801_c7add6f66a4811e4805ad4ae526f013e</vt:lpstr>
      <vt:lpstr>СП_20270801_c7add6f76a4811e4805ad4ae526f013e</vt:lpstr>
      <vt:lpstr>СП_20270801_c7add6ff6a4811e4805ad4ae526f013e</vt:lpstr>
      <vt:lpstr>СП_20270801_c7add7016a4811e4805ad4ae526f013e</vt:lpstr>
      <vt:lpstr>СП_20270801_c7add7026a4811e4805ad4ae526f013e</vt:lpstr>
      <vt:lpstr>СП_20270801_c7add7046a4811e4805ad4ae526f013e</vt:lpstr>
      <vt:lpstr>СП_20270801_c7add7056a4811e4805ad4ae526f013e</vt:lpstr>
      <vt:lpstr>СП_20270801_c7add7066a4811e4805ad4ae526f013e</vt:lpstr>
      <vt:lpstr>СП_20270801_c7add7076a4811e4805ad4ae526f013e</vt:lpstr>
      <vt:lpstr>СП_20270801_c7add7266a4811e4805ad4ae526f013e</vt:lpstr>
      <vt:lpstr>СП_20270801_cc91985fc7d811f083a1005056b5170a</vt:lpstr>
      <vt:lpstr>СП_20270801_ccbf0ec5c7cc11f083a1005056b5170a</vt:lpstr>
      <vt:lpstr>СП_20270801_ce12a12494db11ee8376005056a1be4c</vt:lpstr>
      <vt:lpstr>СП_20270801_d0ff26e8c84511f083a1005056b5170a</vt:lpstr>
      <vt:lpstr>СП_20270801_d1196183c7d611f083a1005056b5170a</vt:lpstr>
      <vt:lpstr>СП_20270801_d450ad9cc84311f083a1005056b5170a</vt:lpstr>
      <vt:lpstr>СП_20270801_d56e8e951d4911f183c7005056b5170a</vt:lpstr>
      <vt:lpstr>СП_20270801_d9a415b3c7d611f083a1005056b5170a</vt:lpstr>
      <vt:lpstr>СП_20270801_dc23c215c7d511f083a1005056b5170a</vt:lpstr>
      <vt:lpstr>СП_20270801_de2933d4c85911f083a1005056b5170a</vt:lpstr>
      <vt:lpstr>СП_20270801_e0d93d37c7cc11f083a1005056b5170a</vt:lpstr>
      <vt:lpstr>СП_20270801_e21f8f63c7d711f083a1005056b5170a</vt:lpstr>
      <vt:lpstr>СП_20270801_e47771ec94dc11ee8376005056a1be4c</vt:lpstr>
      <vt:lpstr>СП_20270801_e5e5c84ec7d811f083a1005056b5170a</vt:lpstr>
      <vt:lpstr>СП_20270801_e7dd9c1c94db11ee8376005056a1be4c</vt:lpstr>
      <vt:lpstr>СП_20270801_eaf11e23c85911f083a1005056b5170a</vt:lpstr>
      <vt:lpstr>СП_20270801_ec74db8b1d5011f183c7005056b5170a</vt:lpstr>
      <vt:lpstr>СП_20270801_eda9216ec7cc11f083a1005056b5170a</vt:lpstr>
      <vt:lpstr>СП_20270801_f15872d1c7d811f083a1005056b5170a</vt:lpstr>
      <vt:lpstr>СП_20270801_f3278a99c7a711f083a1005056b5170a</vt:lpstr>
      <vt:lpstr>СП_20270801_f38ae66bc7d711f083a1005056b5170a</vt:lpstr>
      <vt:lpstr>СП_20270801_f3d09913c85811f083a1005056b5170a</vt:lpstr>
      <vt:lpstr>СП_20270801_f3f3b17d1d4911f183c7005056b5170a</vt:lpstr>
      <vt:lpstr>СП_20270801_f6bf7d1ec7b411f083a1005056b5170a</vt:lpstr>
      <vt:lpstr>СП_20270801_f8b81fd3c7cd11f1863a005056b5e863</vt:lpstr>
      <vt:lpstr>СП_20270801_f8b81fd4c7cd11f1863a005056b5e863</vt:lpstr>
      <vt:lpstr>СП_20270801_f8b81fd7c7cd11f1863a005056b5e863</vt:lpstr>
      <vt:lpstr>СП_20270801_f8b81fdfc7cd11f1863a005056b5e863</vt:lpstr>
      <vt:lpstr>СП_20270801_f8b81ffcc7cd11f1863a005056b5e863</vt:lpstr>
      <vt:lpstr>СП_20270801_f8b81ffdc7cd11f1863a005056b5e863</vt:lpstr>
      <vt:lpstr>СП_20270801_f8b82002c7cd11f1863a005056b5e863</vt:lpstr>
      <vt:lpstr>СП_20270801_f8b82007c7cd11f1863a005056b5e863</vt:lpstr>
      <vt:lpstr>СП_20270801_f92069c8c84711f083a1005056b5170a</vt:lpstr>
      <vt:lpstr>СП_20270801_f9883edd0bfd11f183c6005056b5170a</vt:lpstr>
      <vt:lpstr>СП_20270801_fc80b55ac7cc11f083a1005056b5170a</vt:lpstr>
      <vt:lpstr>СП_20270801_fdbd26b794dc11ee8376005056a1be4c</vt:lpstr>
      <vt:lpstr>СП_20270801_feb6a2a0c7cd11f1863a005056b5e863</vt:lpstr>
      <vt:lpstr>СП_20270801_feb6a2a7c7cd11f1863a005056b5e863</vt:lpstr>
      <vt:lpstr>СП_20270801_feb6a2afc7cd11f1863a005056b5e863</vt:lpstr>
      <vt:lpstr>СП_20270801_feb6a2e0c7cd11f1863a005056b5e863</vt:lpstr>
      <vt:lpstr>СП_20270801_feb6a30bc7cd11f1863a005056b5e863</vt:lpstr>
      <vt:lpstr>СП_20270801_feb6a310c7cd11f1863a005056b5e863</vt:lpstr>
      <vt:lpstr>СП_20270801_feb6a316c7cd11f1863a005056b5e863</vt:lpstr>
      <vt:lpstr>СП_20270801_feb6a31dc7cd11f1863a005056b5e863</vt:lpstr>
      <vt:lpstr>СП_20270801_feb6a325c7cd11f1863a005056b5e863</vt:lpstr>
      <vt:lpstr>СП_20270801_feb6a328c7cd11f1863a005056b5e863</vt:lpstr>
      <vt:lpstr>СП_20270801_feb6a32bc7cd11f1863a005056b5e863</vt:lpstr>
      <vt:lpstr>СП_20270801_feb6a332c7cd11f1863a005056b5e863</vt:lpstr>
      <vt:lpstr>СП_20270801_feb6a339c7cd11f1863a005056b5e863</vt:lpstr>
      <vt:lpstr>СП_20270801_feb6a33dc7cd11f1863a005056b5e863</vt:lpstr>
      <vt:lpstr>СП_20270801_ffc1afcac85811f083a1005056b5170a</vt:lpstr>
      <vt:lpstr>СП_20270901_018a9487c7b411f083a1005056b5170a</vt:lpstr>
      <vt:lpstr>СП_20270901_036681dbc84811f083a1005056b5170a</vt:lpstr>
      <vt:lpstr>СП_20270901_03e74c0fc7d911f083a1005056b5170a</vt:lpstr>
      <vt:lpstr>СП_20270901_05104b79c7a811f083a1005056b5170a</vt:lpstr>
      <vt:lpstr>СП_20270901_0bb19101c85911f083a1005056b5170a</vt:lpstr>
      <vt:lpstr>СП_20270901_0db71d62c84611f083a1005056b5170a</vt:lpstr>
      <vt:lpstr>СП_20270901_1421d8301d4811f183c7005056b5170a</vt:lpstr>
      <vt:lpstr>СП_20270901_163680a8c7d611f083a1005056b5170a</vt:lpstr>
      <vt:lpstr>СП_20270901_16fb1a53c7a811f083a1005056b5170a</vt:lpstr>
      <vt:lpstr>СП_20270901_184a45cfc7d711f083a1005056b5170a</vt:lpstr>
      <vt:lpstr>СП_20270901_196bb604c7b411f083a1005056b5170a</vt:lpstr>
      <vt:lpstr>СП_20270901_1a614068928811ee8376005056a1be4c</vt:lpstr>
      <vt:lpstr>СП_20270901_1a684706c84611f083a1005056b5170a</vt:lpstr>
      <vt:lpstr>СП_20270901_1daed84fc7b511f083a1005056b5170a</vt:lpstr>
      <vt:lpstr>СП_20270901_22a01918c7aa11f083a1005056b5170a</vt:lpstr>
      <vt:lpstr>СП_20270901_25fb3b91c7d611f083a1005056b5170a</vt:lpstr>
      <vt:lpstr>СП_20270901_271acd8d928811ee8376005056a1be4c</vt:lpstr>
      <vt:lpstr>СП_20270901_28c78a1ec7d711f083a1005056b5170a</vt:lpstr>
      <vt:lpstr>СП_20270901_2f74b944c7d811f083a1005056b5170a</vt:lpstr>
      <vt:lpstr>СП_20270901_31632d0cc7d611f083a1005056b5170a</vt:lpstr>
      <vt:lpstr>СП_20270901_33d4cd4f213211f183c7005056b5170a</vt:lpstr>
      <vt:lpstr>СП_20270901_34aab0c2990f11ef8384005056b5170a</vt:lpstr>
      <vt:lpstr>СП_20270901_355043d4c7d711f083a1005056b5170a</vt:lpstr>
      <vt:lpstr>СП_20270901_389f4057c7cb11f083a1005056b5170a</vt:lpstr>
      <vt:lpstr>СП_20270901_3a95d75e928a11ee8376005056a1be4c</vt:lpstr>
      <vt:lpstr>СП_20270901_3bd8087fc7d611f083a1005056b5170a</vt:lpstr>
      <vt:lpstr>СП_20270901_3c712981dfb011e982ef005056a1be4c</vt:lpstr>
      <vt:lpstr>СП_20270901_3f2ff9d6a5b011ef8384005056b5170a</vt:lpstr>
      <vt:lpstr>СП_20270901_445c2761c7b511f083a1005056b5170a</vt:lpstr>
      <vt:lpstr>СП_20270901_4613411b213211f183c7005056b5170a</vt:lpstr>
      <vt:lpstr>СП_20270901_46829e96c7d711f083a1005056b5170a</vt:lpstr>
      <vt:lpstr>СП_20270901_477830aa94da11ee8376005056a1be4c</vt:lpstr>
      <vt:lpstr>СП_20270901_483ec6637b9911f18638005056b5e863</vt:lpstr>
      <vt:lpstr>СП_20270901_49fa47b0c7d611f083a1005056b5170a</vt:lpstr>
      <vt:lpstr>СП_20270901_55eb4f8fc7d611f083a1005056b5170a</vt:lpstr>
      <vt:lpstr>СП_20270901_584645171d5511f183c7005056b5170a</vt:lpstr>
      <vt:lpstr>СП_20270901_5b33182ac7b611f083a1005056b5170a</vt:lpstr>
      <vt:lpstr>СП_20270901_5e534b9ac7aa11f083a1005056b5170a</vt:lpstr>
      <vt:lpstr>СП_20270901_6244c5e8c84711f083a1005056b5170a</vt:lpstr>
      <vt:lpstr>СП_20270901_6277513ac7b711f083a1005056b5170a</vt:lpstr>
      <vt:lpstr>СП_20270901_63f6fb3ae48911f083a6005056b5170a</vt:lpstr>
      <vt:lpstr>СП_20270901_6dcdcaa9c7d611f083a1005056b5170a</vt:lpstr>
      <vt:lpstr>СП_20270901_6ec5bd18c7aa11f083a1005056b5170a</vt:lpstr>
      <vt:lpstr>СП_20270901_74e570081d4811f183c7005056b5170a</vt:lpstr>
      <vt:lpstr>СП_20270901_77e5b212695b11f18638005056b5e863</vt:lpstr>
      <vt:lpstr>СП_20270901_7c5e7d4fc7aa11f083a1005056b5170a</vt:lpstr>
      <vt:lpstr>СП_20270901_806711dd1d5511f183c7005056b5170a</vt:lpstr>
      <vt:lpstr>СП_20270901_85aa1e2d1d4f11f183c7005056b5170a</vt:lpstr>
      <vt:lpstr>СП_20270901_8e478e15c7aa11f083a1005056b5170a</vt:lpstr>
      <vt:lpstr>СП_20270901_9205e61ac7a011f083a1005056b5170a</vt:lpstr>
      <vt:lpstr>СП_20270901_93e92e58c94711f083a3005056b5170a</vt:lpstr>
      <vt:lpstr>СП_20270901_953ba8c5695b11f18638005056b5e863</vt:lpstr>
      <vt:lpstr>СП_20270901_9de962cac84711f083a1005056b5170a</vt:lpstr>
      <vt:lpstr>СП_20270901_9e642f621d4f11f183c7005056b5170a</vt:lpstr>
      <vt:lpstr>СП_20270901_a477ec4f545211f183c8005056b5170a</vt:lpstr>
      <vt:lpstr>СП_20270901_aa40973a1d4a11f183c7005056b5170a</vt:lpstr>
      <vt:lpstr>СП_20270901_ab1ef3c9c7cc11f083a1005056b5170a</vt:lpstr>
      <vt:lpstr>СП_20270901_ab6bfd2cc7d811f083a1005056b5170a</vt:lpstr>
      <vt:lpstr>СП_20270901_b1def38f1d5511f183c7005056b5170a</vt:lpstr>
      <vt:lpstr>СП_20270901_b3b0d47f1d5011f183c7005056b5170a</vt:lpstr>
      <vt:lpstr>СП_20270901_b414fc5ac85811f083a1005056b5170a</vt:lpstr>
      <vt:lpstr>СП_20270901_b438366e4cd911e680db005056a1088b</vt:lpstr>
      <vt:lpstr>СП_20270901_b4431256c7a611f083a1005056b5170a</vt:lpstr>
      <vt:lpstr>СП_20270901_bc7a7d01c7d811f083a1005056b5170a</vt:lpstr>
      <vt:lpstr>СП_20270901_be8eb25fc7cc11f083a1005056b5170a</vt:lpstr>
      <vt:lpstr>СП_20270901_bf6525441d5111f183c7005056b5170a</vt:lpstr>
      <vt:lpstr>СП_20270901_c0422569c7d611f083a1005056b5170a</vt:lpstr>
      <vt:lpstr>СП_20270901_c4d393ccc85911f083a1005056b5170a</vt:lpstr>
      <vt:lpstr>СП_20270901_c64e660926bd11f183c7005056b5170a</vt:lpstr>
      <vt:lpstr>СП_20270901_c7add6cc6a4811e4805ad4ae526f013e</vt:lpstr>
      <vt:lpstr>СП_20270901_c7add6cd6a4811e4805ad4ae526f013e</vt:lpstr>
      <vt:lpstr>СП_20270901_c7add6d06a4811e4805ad4ae526f013e</vt:lpstr>
      <vt:lpstr>СП_20270901_c7add6d26a4811e4805ad4ae526f013e</vt:lpstr>
      <vt:lpstr>СП_20270901_c7add6d36a4811e4805ad4ae526f013e</vt:lpstr>
      <vt:lpstr>СП_20270901_c7add6d46a4811e4805ad4ae526f013e</vt:lpstr>
      <vt:lpstr>СП_20270901_c7add6d76a4811e4805ad4ae526f013e</vt:lpstr>
      <vt:lpstr>СП_20270901_c7add6ea6a4811e4805ad4ae526f013e</vt:lpstr>
      <vt:lpstr>СП_20270901_c7add6ed6a4811e4805ad4ae526f013e</vt:lpstr>
      <vt:lpstr>СП_20270901_c7add6f66a4811e4805ad4ae526f013e</vt:lpstr>
      <vt:lpstr>СП_20270901_c7add6f76a4811e4805ad4ae526f013e</vt:lpstr>
      <vt:lpstr>СП_20270901_c7add6ff6a4811e4805ad4ae526f013e</vt:lpstr>
      <vt:lpstr>СП_20270901_c7add7016a4811e4805ad4ae526f013e</vt:lpstr>
      <vt:lpstr>СП_20270901_c7add7026a4811e4805ad4ae526f013e</vt:lpstr>
      <vt:lpstr>СП_20270901_c7add7046a4811e4805ad4ae526f013e</vt:lpstr>
      <vt:lpstr>СП_20270901_c7add7056a4811e4805ad4ae526f013e</vt:lpstr>
      <vt:lpstr>СП_20270901_c7add7066a4811e4805ad4ae526f013e</vt:lpstr>
      <vt:lpstr>СП_20270901_c7add7076a4811e4805ad4ae526f013e</vt:lpstr>
      <vt:lpstr>СП_20270901_c7add7266a4811e4805ad4ae526f013e</vt:lpstr>
      <vt:lpstr>СП_20270901_cc91985fc7d811f083a1005056b5170a</vt:lpstr>
      <vt:lpstr>СП_20270901_ccbf0ec5c7cc11f083a1005056b5170a</vt:lpstr>
      <vt:lpstr>СП_20270901_ce12a12494db11ee8376005056a1be4c</vt:lpstr>
      <vt:lpstr>СП_20270901_d0ff26e8c84511f083a1005056b5170a</vt:lpstr>
      <vt:lpstr>СП_20270901_d1196183c7d611f083a1005056b5170a</vt:lpstr>
      <vt:lpstr>СП_20270901_d450ad9cc84311f083a1005056b5170a</vt:lpstr>
      <vt:lpstr>СП_20270901_d56e8e951d4911f183c7005056b5170a</vt:lpstr>
      <vt:lpstr>СП_20270901_d9a415b3c7d611f083a1005056b5170a</vt:lpstr>
      <vt:lpstr>СП_20270901_dc23c215c7d511f083a1005056b5170a</vt:lpstr>
      <vt:lpstr>СП_20270901_de2933d4c85911f083a1005056b5170a</vt:lpstr>
      <vt:lpstr>СП_20270901_e0d93d37c7cc11f083a1005056b5170a</vt:lpstr>
      <vt:lpstr>СП_20270901_e21f8f63c7d711f083a1005056b5170a</vt:lpstr>
      <vt:lpstr>СП_20270901_e47771ec94dc11ee8376005056a1be4c</vt:lpstr>
      <vt:lpstr>СП_20270901_e5e5c84ec7d811f083a1005056b5170a</vt:lpstr>
      <vt:lpstr>СП_20270901_e7dd9c1c94db11ee8376005056a1be4c</vt:lpstr>
      <vt:lpstr>СП_20270901_eaf11e23c85911f083a1005056b5170a</vt:lpstr>
      <vt:lpstr>СП_20270901_ec74db8b1d5011f183c7005056b5170a</vt:lpstr>
      <vt:lpstr>СП_20270901_eda9216ec7cc11f083a1005056b5170a</vt:lpstr>
      <vt:lpstr>СП_20270901_f15872d1c7d811f083a1005056b5170a</vt:lpstr>
      <vt:lpstr>СП_20270901_f3278a99c7a711f083a1005056b5170a</vt:lpstr>
      <vt:lpstr>СП_20270901_f38ae66bc7d711f083a1005056b5170a</vt:lpstr>
      <vt:lpstr>СП_20270901_f3d09913c85811f083a1005056b5170a</vt:lpstr>
      <vt:lpstr>СП_20270901_f3f3b17d1d4911f183c7005056b5170a</vt:lpstr>
      <vt:lpstr>СП_20270901_f6bf7d1ec7b411f083a1005056b5170a</vt:lpstr>
      <vt:lpstr>СП_20270901_f8b81fd3c7cd11f1863a005056b5e863</vt:lpstr>
      <vt:lpstr>СП_20270901_f8b81fd4c7cd11f1863a005056b5e863</vt:lpstr>
      <vt:lpstr>СП_20270901_f8b81fd7c7cd11f1863a005056b5e863</vt:lpstr>
      <vt:lpstr>СП_20270901_f8b81fdfc7cd11f1863a005056b5e863</vt:lpstr>
      <vt:lpstr>СП_20270901_f8b81ffcc7cd11f1863a005056b5e863</vt:lpstr>
      <vt:lpstr>СП_20270901_f8b81ffdc7cd11f1863a005056b5e863</vt:lpstr>
      <vt:lpstr>СП_20270901_f8b82002c7cd11f1863a005056b5e863</vt:lpstr>
      <vt:lpstr>СП_20270901_f8b82007c7cd11f1863a005056b5e863</vt:lpstr>
      <vt:lpstr>СП_20270901_f92069c8c84711f083a1005056b5170a</vt:lpstr>
      <vt:lpstr>СП_20270901_f9883edd0bfd11f183c6005056b5170a</vt:lpstr>
      <vt:lpstr>СП_20270901_fc80b55ac7cc11f083a1005056b5170a</vt:lpstr>
      <vt:lpstr>СП_20270901_fdbd26b794dc11ee8376005056a1be4c</vt:lpstr>
      <vt:lpstr>СП_20270901_feb6a2a0c7cd11f1863a005056b5e863</vt:lpstr>
      <vt:lpstr>СП_20270901_feb6a2a7c7cd11f1863a005056b5e863</vt:lpstr>
      <vt:lpstr>СП_20270901_feb6a2afc7cd11f1863a005056b5e863</vt:lpstr>
      <vt:lpstr>СП_20270901_feb6a2e0c7cd11f1863a005056b5e863</vt:lpstr>
      <vt:lpstr>СП_20270901_feb6a30bc7cd11f1863a005056b5e863</vt:lpstr>
      <vt:lpstr>СП_20270901_feb6a310c7cd11f1863a005056b5e863</vt:lpstr>
      <vt:lpstr>СП_20270901_feb6a316c7cd11f1863a005056b5e863</vt:lpstr>
      <vt:lpstr>СП_20270901_feb6a31dc7cd11f1863a005056b5e863</vt:lpstr>
      <vt:lpstr>СП_20270901_feb6a325c7cd11f1863a005056b5e863</vt:lpstr>
      <vt:lpstr>СП_20270901_feb6a328c7cd11f1863a005056b5e863</vt:lpstr>
      <vt:lpstr>СП_20270901_feb6a32bc7cd11f1863a005056b5e863</vt:lpstr>
      <vt:lpstr>СП_20270901_feb6a332c7cd11f1863a005056b5e863</vt:lpstr>
      <vt:lpstr>СП_20270901_feb6a339c7cd11f1863a005056b5e863</vt:lpstr>
      <vt:lpstr>СП_20270901_feb6a33dc7cd11f1863a005056b5e863</vt:lpstr>
      <vt:lpstr>СП_20270901_ffc1afcac85811f083a1005056b5170a</vt:lpstr>
      <vt:lpstr>СП_20271001_018a9487c7b411f083a1005056b5170a</vt:lpstr>
      <vt:lpstr>СП_20271001_036681dbc84811f083a1005056b5170a</vt:lpstr>
      <vt:lpstr>СП_20271001_03e74c0fc7d911f083a1005056b5170a</vt:lpstr>
      <vt:lpstr>СП_20271001_05104b79c7a811f083a1005056b5170a</vt:lpstr>
      <vt:lpstr>СП_20271001_0bb19101c85911f083a1005056b5170a</vt:lpstr>
      <vt:lpstr>СП_20271001_0db71d62c84611f083a1005056b5170a</vt:lpstr>
      <vt:lpstr>СП_20271001_1421d8301d4811f183c7005056b5170a</vt:lpstr>
      <vt:lpstr>СП_20271001_163680a8c7d611f083a1005056b5170a</vt:lpstr>
      <vt:lpstr>СП_20271001_16fb1a53c7a811f083a1005056b5170a</vt:lpstr>
      <vt:lpstr>СП_20271001_184a45cfc7d711f083a1005056b5170a</vt:lpstr>
      <vt:lpstr>СП_20271001_196bb604c7b411f083a1005056b5170a</vt:lpstr>
      <vt:lpstr>СП_20271001_1a614068928811ee8376005056a1be4c</vt:lpstr>
      <vt:lpstr>СП_20271001_1a684706c84611f083a1005056b5170a</vt:lpstr>
      <vt:lpstr>СП_20271001_1daed84fc7b511f083a1005056b5170a</vt:lpstr>
      <vt:lpstr>СП_20271001_22a01918c7aa11f083a1005056b5170a</vt:lpstr>
      <vt:lpstr>СП_20271001_25fb3b91c7d611f083a1005056b5170a</vt:lpstr>
      <vt:lpstr>СП_20271001_271acd8d928811ee8376005056a1be4c</vt:lpstr>
      <vt:lpstr>СП_20271001_28c78a1ec7d711f083a1005056b5170a</vt:lpstr>
      <vt:lpstr>СП_20271001_2f74b944c7d811f083a1005056b5170a</vt:lpstr>
      <vt:lpstr>СП_20271001_31632d0cc7d611f083a1005056b5170a</vt:lpstr>
      <vt:lpstr>СП_20271001_33d4cd4f213211f183c7005056b5170a</vt:lpstr>
      <vt:lpstr>СП_20271001_34aab0c2990f11ef8384005056b5170a</vt:lpstr>
      <vt:lpstr>СП_20271001_355043d4c7d711f083a1005056b5170a</vt:lpstr>
      <vt:lpstr>СП_20271001_389f4057c7cb11f083a1005056b5170a</vt:lpstr>
      <vt:lpstr>СП_20271001_3a95d75e928a11ee8376005056a1be4c</vt:lpstr>
      <vt:lpstr>СП_20271001_3bd8087fc7d611f083a1005056b5170a</vt:lpstr>
      <vt:lpstr>СП_20271001_3c712981dfb011e982ef005056a1be4c</vt:lpstr>
      <vt:lpstr>СП_20271001_3f2ff9d6a5b011ef8384005056b5170a</vt:lpstr>
      <vt:lpstr>СП_20271001_445c2761c7b511f083a1005056b5170a</vt:lpstr>
      <vt:lpstr>СП_20271001_4613411b213211f183c7005056b5170a</vt:lpstr>
      <vt:lpstr>СП_20271001_46829e96c7d711f083a1005056b5170a</vt:lpstr>
      <vt:lpstr>СП_20271001_477830aa94da11ee8376005056a1be4c</vt:lpstr>
      <vt:lpstr>СП_20271001_483ec6637b9911f18638005056b5e863</vt:lpstr>
      <vt:lpstr>СП_20271001_49fa47b0c7d611f083a1005056b5170a</vt:lpstr>
      <vt:lpstr>СП_20271001_55eb4f8fc7d611f083a1005056b5170a</vt:lpstr>
      <vt:lpstr>СП_20271001_584645171d5511f183c7005056b5170a</vt:lpstr>
      <vt:lpstr>СП_20271001_5b33182ac7b611f083a1005056b5170a</vt:lpstr>
      <vt:lpstr>СП_20271001_5e534b9ac7aa11f083a1005056b5170a</vt:lpstr>
      <vt:lpstr>СП_20271001_6244c5e8c84711f083a1005056b5170a</vt:lpstr>
      <vt:lpstr>СП_20271001_6277513ac7b711f083a1005056b5170a</vt:lpstr>
      <vt:lpstr>СП_20271001_63f6fb3ae48911f083a6005056b5170a</vt:lpstr>
      <vt:lpstr>СП_20271001_6dcdcaa9c7d611f083a1005056b5170a</vt:lpstr>
      <vt:lpstr>СП_20271001_6ec5bd18c7aa11f083a1005056b5170a</vt:lpstr>
      <vt:lpstr>СП_20271001_74e570081d4811f183c7005056b5170a</vt:lpstr>
      <vt:lpstr>СП_20271001_77e5b212695b11f18638005056b5e863</vt:lpstr>
      <vt:lpstr>СП_20271001_7c5e7d4fc7aa11f083a1005056b5170a</vt:lpstr>
      <vt:lpstr>СП_20271001_806711dd1d5511f183c7005056b5170a</vt:lpstr>
      <vt:lpstr>СП_20271001_85aa1e2d1d4f11f183c7005056b5170a</vt:lpstr>
      <vt:lpstr>СП_20271001_8e478e15c7aa11f083a1005056b5170a</vt:lpstr>
      <vt:lpstr>СП_20271001_9205e61ac7a011f083a1005056b5170a</vt:lpstr>
      <vt:lpstr>СП_20271001_93e92e58c94711f083a3005056b5170a</vt:lpstr>
      <vt:lpstr>СП_20271001_953ba8c5695b11f18638005056b5e863</vt:lpstr>
      <vt:lpstr>СП_20271001_9de962cac84711f083a1005056b5170a</vt:lpstr>
      <vt:lpstr>СП_20271001_9e642f621d4f11f183c7005056b5170a</vt:lpstr>
      <vt:lpstr>СП_20271001_a477ec4f545211f183c8005056b5170a</vt:lpstr>
      <vt:lpstr>СП_20271001_aa40973a1d4a11f183c7005056b5170a</vt:lpstr>
      <vt:lpstr>СП_20271001_ab1ef3c9c7cc11f083a1005056b5170a</vt:lpstr>
      <vt:lpstr>СП_20271001_ab6bfd2cc7d811f083a1005056b5170a</vt:lpstr>
      <vt:lpstr>СП_20271001_b1def38f1d5511f183c7005056b5170a</vt:lpstr>
      <vt:lpstr>СП_20271001_b3b0d47f1d5011f183c7005056b5170a</vt:lpstr>
      <vt:lpstr>СП_20271001_b414fc5ac85811f083a1005056b5170a</vt:lpstr>
      <vt:lpstr>СП_20271001_b438366e4cd911e680db005056a1088b</vt:lpstr>
      <vt:lpstr>СП_20271001_b4431256c7a611f083a1005056b5170a</vt:lpstr>
      <vt:lpstr>СП_20271001_bc7a7d01c7d811f083a1005056b5170a</vt:lpstr>
      <vt:lpstr>СП_20271001_be8eb25fc7cc11f083a1005056b5170a</vt:lpstr>
      <vt:lpstr>СП_20271001_bf6525441d5111f183c7005056b5170a</vt:lpstr>
      <vt:lpstr>СП_20271001_c0422569c7d611f083a1005056b5170a</vt:lpstr>
      <vt:lpstr>СП_20271001_c4d393ccc85911f083a1005056b5170a</vt:lpstr>
      <vt:lpstr>СП_20271001_c64e660926bd11f183c7005056b5170a</vt:lpstr>
      <vt:lpstr>СП_20271001_c7add6cc6a4811e4805ad4ae526f013e</vt:lpstr>
      <vt:lpstr>СП_20271001_c7add6cd6a4811e4805ad4ae526f013e</vt:lpstr>
      <vt:lpstr>СП_20271001_c7add6d06a4811e4805ad4ae526f013e</vt:lpstr>
      <vt:lpstr>СП_20271001_c7add6d26a4811e4805ad4ae526f013e</vt:lpstr>
      <vt:lpstr>СП_20271001_c7add6d36a4811e4805ad4ae526f013e</vt:lpstr>
      <vt:lpstr>СП_20271001_c7add6d46a4811e4805ad4ae526f013e</vt:lpstr>
      <vt:lpstr>СП_20271001_c7add6d76a4811e4805ad4ae526f013e</vt:lpstr>
      <vt:lpstr>СП_20271001_c7add6ea6a4811e4805ad4ae526f013e</vt:lpstr>
      <vt:lpstr>СП_20271001_c7add6ed6a4811e4805ad4ae526f013e</vt:lpstr>
      <vt:lpstr>СП_20271001_c7add6f66a4811e4805ad4ae526f013e</vt:lpstr>
      <vt:lpstr>СП_20271001_c7add6f76a4811e4805ad4ae526f013e</vt:lpstr>
      <vt:lpstr>СП_20271001_c7add6ff6a4811e4805ad4ae526f013e</vt:lpstr>
      <vt:lpstr>СП_20271001_c7add7016a4811e4805ad4ae526f013e</vt:lpstr>
      <vt:lpstr>СП_20271001_c7add7026a4811e4805ad4ae526f013e</vt:lpstr>
      <vt:lpstr>СП_20271001_c7add7046a4811e4805ad4ae526f013e</vt:lpstr>
      <vt:lpstr>СП_20271001_c7add7056a4811e4805ad4ae526f013e</vt:lpstr>
      <vt:lpstr>СП_20271001_c7add7066a4811e4805ad4ae526f013e</vt:lpstr>
      <vt:lpstr>СП_20271001_c7add7076a4811e4805ad4ae526f013e</vt:lpstr>
      <vt:lpstr>СП_20271001_c7add7266a4811e4805ad4ae526f013e</vt:lpstr>
      <vt:lpstr>СП_20271001_cc91985fc7d811f083a1005056b5170a</vt:lpstr>
      <vt:lpstr>СП_20271001_ccbf0ec5c7cc11f083a1005056b5170a</vt:lpstr>
      <vt:lpstr>СП_20271001_ce12a12494db11ee8376005056a1be4c</vt:lpstr>
      <vt:lpstr>СП_20271001_d0ff26e8c84511f083a1005056b5170a</vt:lpstr>
      <vt:lpstr>СП_20271001_d1196183c7d611f083a1005056b5170a</vt:lpstr>
      <vt:lpstr>СП_20271001_d450ad9cc84311f083a1005056b5170a</vt:lpstr>
      <vt:lpstr>СП_20271001_d56e8e951d4911f183c7005056b5170a</vt:lpstr>
      <vt:lpstr>СП_20271001_d9a415b3c7d611f083a1005056b5170a</vt:lpstr>
      <vt:lpstr>СП_20271001_dc23c215c7d511f083a1005056b5170a</vt:lpstr>
      <vt:lpstr>СП_20271001_de2933d4c85911f083a1005056b5170a</vt:lpstr>
      <vt:lpstr>СП_20271001_e0d93d37c7cc11f083a1005056b5170a</vt:lpstr>
      <vt:lpstr>СП_20271001_e21f8f63c7d711f083a1005056b5170a</vt:lpstr>
      <vt:lpstr>СП_20271001_e47771ec94dc11ee8376005056a1be4c</vt:lpstr>
      <vt:lpstr>СП_20271001_e5e5c84ec7d811f083a1005056b5170a</vt:lpstr>
      <vt:lpstr>СП_20271001_e7dd9c1c94db11ee8376005056a1be4c</vt:lpstr>
      <vt:lpstr>СП_20271001_eaf11e23c85911f083a1005056b5170a</vt:lpstr>
      <vt:lpstr>СП_20271001_ec74db8b1d5011f183c7005056b5170a</vt:lpstr>
      <vt:lpstr>СП_20271001_eda9216ec7cc11f083a1005056b5170a</vt:lpstr>
      <vt:lpstr>СП_20271001_f15872d1c7d811f083a1005056b5170a</vt:lpstr>
      <vt:lpstr>СП_20271001_f3278a99c7a711f083a1005056b5170a</vt:lpstr>
      <vt:lpstr>СП_20271001_f38ae66bc7d711f083a1005056b5170a</vt:lpstr>
      <vt:lpstr>СП_20271001_f3d09913c85811f083a1005056b5170a</vt:lpstr>
      <vt:lpstr>СП_20271001_f3f3b17d1d4911f183c7005056b5170a</vt:lpstr>
      <vt:lpstr>СП_20271001_f6bf7d1ec7b411f083a1005056b5170a</vt:lpstr>
      <vt:lpstr>СП_20271001_f8b81fd3c7cd11f1863a005056b5e863</vt:lpstr>
      <vt:lpstr>СП_20271001_f8b81fd4c7cd11f1863a005056b5e863</vt:lpstr>
      <vt:lpstr>СП_20271001_f8b81fd7c7cd11f1863a005056b5e863</vt:lpstr>
      <vt:lpstr>СП_20271001_f8b81fdfc7cd11f1863a005056b5e863</vt:lpstr>
      <vt:lpstr>СП_20271001_f8b81ffcc7cd11f1863a005056b5e863</vt:lpstr>
      <vt:lpstr>СП_20271001_f8b81ffdc7cd11f1863a005056b5e863</vt:lpstr>
      <vt:lpstr>СП_20271001_f8b82002c7cd11f1863a005056b5e863</vt:lpstr>
      <vt:lpstr>СП_20271001_f8b82007c7cd11f1863a005056b5e863</vt:lpstr>
      <vt:lpstr>СП_20271001_f92069c8c84711f083a1005056b5170a</vt:lpstr>
      <vt:lpstr>СП_20271001_f9883edd0bfd11f183c6005056b5170a</vt:lpstr>
      <vt:lpstr>СП_20271001_fc80b55ac7cc11f083a1005056b5170a</vt:lpstr>
      <vt:lpstr>СП_20271001_fdbd26b794dc11ee8376005056a1be4c</vt:lpstr>
      <vt:lpstr>СП_20271001_feb6a2a0c7cd11f1863a005056b5e863</vt:lpstr>
      <vt:lpstr>СП_20271001_feb6a2a7c7cd11f1863a005056b5e863</vt:lpstr>
      <vt:lpstr>СП_20271001_feb6a2afc7cd11f1863a005056b5e863</vt:lpstr>
      <vt:lpstr>СП_20271001_feb6a2e0c7cd11f1863a005056b5e863</vt:lpstr>
      <vt:lpstr>СП_20271001_feb6a30bc7cd11f1863a005056b5e863</vt:lpstr>
      <vt:lpstr>СП_20271001_feb6a310c7cd11f1863a005056b5e863</vt:lpstr>
      <vt:lpstr>СП_20271001_feb6a316c7cd11f1863a005056b5e863</vt:lpstr>
      <vt:lpstr>СП_20271001_feb6a31dc7cd11f1863a005056b5e863</vt:lpstr>
      <vt:lpstr>СП_20271001_feb6a325c7cd11f1863a005056b5e863</vt:lpstr>
      <vt:lpstr>СП_20271001_feb6a328c7cd11f1863a005056b5e863</vt:lpstr>
      <vt:lpstr>СП_20271001_feb6a32bc7cd11f1863a005056b5e863</vt:lpstr>
      <vt:lpstr>СП_20271001_feb6a332c7cd11f1863a005056b5e863</vt:lpstr>
      <vt:lpstr>СП_20271001_feb6a339c7cd11f1863a005056b5e863</vt:lpstr>
      <vt:lpstr>СП_20271001_feb6a33dc7cd11f1863a005056b5e863</vt:lpstr>
      <vt:lpstr>СП_20271001_ffc1afcac85811f083a1005056b5170a</vt:lpstr>
      <vt:lpstr>СП_20271101_018a9487c7b411f083a1005056b5170a</vt:lpstr>
      <vt:lpstr>СП_20271101_036681dbc84811f083a1005056b5170a</vt:lpstr>
      <vt:lpstr>СП_20271101_03e74c0fc7d911f083a1005056b5170a</vt:lpstr>
      <vt:lpstr>СП_20271101_05104b79c7a811f083a1005056b5170a</vt:lpstr>
      <vt:lpstr>СП_20271101_0bb19101c85911f083a1005056b5170a</vt:lpstr>
      <vt:lpstr>СП_20271101_0db71d62c84611f083a1005056b5170a</vt:lpstr>
      <vt:lpstr>СП_20271101_1421d8301d4811f183c7005056b5170a</vt:lpstr>
      <vt:lpstr>СП_20271101_163680a8c7d611f083a1005056b5170a</vt:lpstr>
      <vt:lpstr>СП_20271101_16fb1a53c7a811f083a1005056b5170a</vt:lpstr>
      <vt:lpstr>СП_20271101_184a45cfc7d711f083a1005056b5170a</vt:lpstr>
      <vt:lpstr>СП_20271101_196bb604c7b411f083a1005056b5170a</vt:lpstr>
      <vt:lpstr>СП_20271101_1a614068928811ee8376005056a1be4c</vt:lpstr>
      <vt:lpstr>СП_20271101_1a684706c84611f083a1005056b5170a</vt:lpstr>
      <vt:lpstr>СП_20271101_1daed84fc7b511f083a1005056b5170a</vt:lpstr>
      <vt:lpstr>СП_20271101_22a01918c7aa11f083a1005056b5170a</vt:lpstr>
      <vt:lpstr>СП_20271101_25fb3b91c7d611f083a1005056b5170a</vt:lpstr>
      <vt:lpstr>СП_20271101_271acd8d928811ee8376005056a1be4c</vt:lpstr>
      <vt:lpstr>СП_20271101_28c78a1ec7d711f083a1005056b5170a</vt:lpstr>
      <vt:lpstr>СП_20271101_2f74b944c7d811f083a1005056b5170a</vt:lpstr>
      <vt:lpstr>СП_20271101_31632d0cc7d611f083a1005056b5170a</vt:lpstr>
      <vt:lpstr>СП_20271101_33d4cd4f213211f183c7005056b5170a</vt:lpstr>
      <vt:lpstr>СП_20271101_34aab0c2990f11ef8384005056b5170a</vt:lpstr>
      <vt:lpstr>СП_20271101_355043d4c7d711f083a1005056b5170a</vt:lpstr>
      <vt:lpstr>СП_20271101_389f4057c7cb11f083a1005056b5170a</vt:lpstr>
      <vt:lpstr>СП_20271101_3a95d75e928a11ee8376005056a1be4c</vt:lpstr>
      <vt:lpstr>СП_20271101_3bd8087fc7d611f083a1005056b5170a</vt:lpstr>
      <vt:lpstr>СП_20271101_3c712981dfb011e982ef005056a1be4c</vt:lpstr>
      <vt:lpstr>СП_20271101_3f2ff9d6a5b011ef8384005056b5170a</vt:lpstr>
      <vt:lpstr>СП_20271101_445c2761c7b511f083a1005056b5170a</vt:lpstr>
      <vt:lpstr>СП_20271101_4613411b213211f183c7005056b5170a</vt:lpstr>
      <vt:lpstr>СП_20271101_46829e96c7d711f083a1005056b5170a</vt:lpstr>
      <vt:lpstr>СП_20271101_477830aa94da11ee8376005056a1be4c</vt:lpstr>
      <vt:lpstr>СП_20271101_483ec6637b9911f18638005056b5e863</vt:lpstr>
      <vt:lpstr>СП_20271101_49fa47b0c7d611f083a1005056b5170a</vt:lpstr>
      <vt:lpstr>СП_20271101_55eb4f8fc7d611f083a1005056b5170a</vt:lpstr>
      <vt:lpstr>СП_20271101_584645171d5511f183c7005056b5170a</vt:lpstr>
      <vt:lpstr>СП_20271101_5b33182ac7b611f083a1005056b5170a</vt:lpstr>
      <vt:lpstr>СП_20271101_5e534b9ac7aa11f083a1005056b5170a</vt:lpstr>
      <vt:lpstr>СП_20271101_6244c5e8c84711f083a1005056b5170a</vt:lpstr>
      <vt:lpstr>СП_20271101_6277513ac7b711f083a1005056b5170a</vt:lpstr>
      <vt:lpstr>СП_20271101_63f6fb3ae48911f083a6005056b5170a</vt:lpstr>
      <vt:lpstr>СП_20271101_6dcdcaa9c7d611f083a1005056b5170a</vt:lpstr>
      <vt:lpstr>СП_20271101_6ec5bd18c7aa11f083a1005056b5170a</vt:lpstr>
      <vt:lpstr>СП_20271101_74e570081d4811f183c7005056b5170a</vt:lpstr>
      <vt:lpstr>СП_20271101_77e5b212695b11f18638005056b5e863</vt:lpstr>
      <vt:lpstr>СП_20271101_7c5e7d4fc7aa11f083a1005056b5170a</vt:lpstr>
      <vt:lpstr>СП_20271101_806711dd1d5511f183c7005056b5170a</vt:lpstr>
      <vt:lpstr>СП_20271101_85aa1e2d1d4f11f183c7005056b5170a</vt:lpstr>
      <vt:lpstr>СП_20271101_8e478e15c7aa11f083a1005056b5170a</vt:lpstr>
      <vt:lpstr>СП_20271101_9205e61ac7a011f083a1005056b5170a</vt:lpstr>
      <vt:lpstr>СП_20271101_93e92e58c94711f083a3005056b5170a</vt:lpstr>
      <vt:lpstr>СП_20271101_953ba8c5695b11f18638005056b5e863</vt:lpstr>
      <vt:lpstr>СП_20271101_9de962cac84711f083a1005056b5170a</vt:lpstr>
      <vt:lpstr>СП_20271101_9e642f621d4f11f183c7005056b5170a</vt:lpstr>
      <vt:lpstr>СП_20271101_a477ec4f545211f183c8005056b5170a</vt:lpstr>
      <vt:lpstr>СП_20271101_aa40973a1d4a11f183c7005056b5170a</vt:lpstr>
      <vt:lpstr>СП_20271101_ab1ef3c9c7cc11f083a1005056b5170a</vt:lpstr>
      <vt:lpstr>СП_20271101_ab6bfd2cc7d811f083a1005056b5170a</vt:lpstr>
      <vt:lpstr>СП_20271101_b1def38f1d5511f183c7005056b5170a</vt:lpstr>
      <vt:lpstr>СП_20271101_b3b0d47f1d5011f183c7005056b5170a</vt:lpstr>
      <vt:lpstr>СП_20271101_b414fc5ac85811f083a1005056b5170a</vt:lpstr>
      <vt:lpstr>СП_20271101_b438366e4cd911e680db005056a1088b</vt:lpstr>
      <vt:lpstr>СП_20271101_b4431256c7a611f083a1005056b5170a</vt:lpstr>
      <vt:lpstr>СП_20271101_bc7a7d01c7d811f083a1005056b5170a</vt:lpstr>
      <vt:lpstr>СП_20271101_be8eb25fc7cc11f083a1005056b5170a</vt:lpstr>
      <vt:lpstr>СП_20271101_bf6525441d5111f183c7005056b5170a</vt:lpstr>
      <vt:lpstr>СП_20271101_c0422569c7d611f083a1005056b5170a</vt:lpstr>
      <vt:lpstr>СП_20271101_c4d393ccc85911f083a1005056b5170a</vt:lpstr>
      <vt:lpstr>СП_20271101_c64e660926bd11f183c7005056b5170a</vt:lpstr>
      <vt:lpstr>СП_20271101_c7add6cc6a4811e4805ad4ae526f013e</vt:lpstr>
      <vt:lpstr>СП_20271101_c7add6cd6a4811e4805ad4ae526f013e</vt:lpstr>
      <vt:lpstr>СП_20271101_c7add6d06a4811e4805ad4ae526f013e</vt:lpstr>
      <vt:lpstr>СП_20271101_c7add6d26a4811e4805ad4ae526f013e</vt:lpstr>
      <vt:lpstr>СП_20271101_c7add6d36a4811e4805ad4ae526f013e</vt:lpstr>
      <vt:lpstr>СП_20271101_c7add6d46a4811e4805ad4ae526f013e</vt:lpstr>
      <vt:lpstr>СП_20271101_c7add6d76a4811e4805ad4ae526f013e</vt:lpstr>
      <vt:lpstr>СП_20271101_c7add6ea6a4811e4805ad4ae526f013e</vt:lpstr>
      <vt:lpstr>СП_20271101_c7add6ed6a4811e4805ad4ae526f013e</vt:lpstr>
      <vt:lpstr>СП_20271101_c7add6f66a4811e4805ad4ae526f013e</vt:lpstr>
      <vt:lpstr>СП_20271101_c7add6f76a4811e4805ad4ae526f013e</vt:lpstr>
      <vt:lpstr>СП_20271101_c7add6ff6a4811e4805ad4ae526f013e</vt:lpstr>
      <vt:lpstr>СП_20271101_c7add7016a4811e4805ad4ae526f013e</vt:lpstr>
      <vt:lpstr>СП_20271101_c7add7026a4811e4805ad4ae526f013e</vt:lpstr>
      <vt:lpstr>СП_20271101_c7add7046a4811e4805ad4ae526f013e</vt:lpstr>
      <vt:lpstr>СП_20271101_c7add7056a4811e4805ad4ae526f013e</vt:lpstr>
      <vt:lpstr>СП_20271101_c7add7066a4811e4805ad4ae526f013e</vt:lpstr>
      <vt:lpstr>СП_20271101_c7add7076a4811e4805ad4ae526f013e</vt:lpstr>
      <vt:lpstr>СП_20271101_c7add7266a4811e4805ad4ae526f013e</vt:lpstr>
      <vt:lpstr>СП_20271101_cc91985fc7d811f083a1005056b5170a</vt:lpstr>
      <vt:lpstr>СП_20271101_ccbf0ec5c7cc11f083a1005056b5170a</vt:lpstr>
      <vt:lpstr>СП_20271101_ce12a12494db11ee8376005056a1be4c</vt:lpstr>
      <vt:lpstr>СП_20271101_d0ff26e8c84511f083a1005056b5170a</vt:lpstr>
      <vt:lpstr>СП_20271101_d1196183c7d611f083a1005056b5170a</vt:lpstr>
      <vt:lpstr>СП_20271101_d450ad9cc84311f083a1005056b5170a</vt:lpstr>
      <vt:lpstr>СП_20271101_d56e8e951d4911f183c7005056b5170a</vt:lpstr>
      <vt:lpstr>СП_20271101_d9a415b3c7d611f083a1005056b5170a</vt:lpstr>
      <vt:lpstr>СП_20271101_dc23c215c7d511f083a1005056b5170a</vt:lpstr>
      <vt:lpstr>СП_20271101_de2933d4c85911f083a1005056b5170a</vt:lpstr>
      <vt:lpstr>СП_20271101_e0d93d37c7cc11f083a1005056b5170a</vt:lpstr>
      <vt:lpstr>СП_20271101_e21f8f63c7d711f083a1005056b5170a</vt:lpstr>
      <vt:lpstr>СП_20271101_e47771ec94dc11ee8376005056a1be4c</vt:lpstr>
      <vt:lpstr>СП_20271101_e5e5c84ec7d811f083a1005056b5170a</vt:lpstr>
      <vt:lpstr>СП_20271101_e7dd9c1c94db11ee8376005056a1be4c</vt:lpstr>
      <vt:lpstr>СП_20271101_eaf11e23c85911f083a1005056b5170a</vt:lpstr>
      <vt:lpstr>СП_20271101_ec74db8b1d5011f183c7005056b5170a</vt:lpstr>
      <vt:lpstr>СП_20271101_eda9216ec7cc11f083a1005056b5170a</vt:lpstr>
      <vt:lpstr>СП_20271101_f15872d1c7d811f083a1005056b5170a</vt:lpstr>
      <vt:lpstr>СП_20271101_f3278a99c7a711f083a1005056b5170a</vt:lpstr>
      <vt:lpstr>СП_20271101_f38ae66bc7d711f083a1005056b5170a</vt:lpstr>
      <vt:lpstr>СП_20271101_f3d09913c85811f083a1005056b5170a</vt:lpstr>
      <vt:lpstr>СП_20271101_f3f3b17d1d4911f183c7005056b5170a</vt:lpstr>
      <vt:lpstr>СП_20271101_f6bf7d1ec7b411f083a1005056b5170a</vt:lpstr>
      <vt:lpstr>СП_20271101_f8b81fd3c7cd11f1863a005056b5e863</vt:lpstr>
      <vt:lpstr>СП_20271101_f8b81fd4c7cd11f1863a005056b5e863</vt:lpstr>
      <vt:lpstr>СП_20271101_f8b81fd7c7cd11f1863a005056b5e863</vt:lpstr>
      <vt:lpstr>СП_20271101_f8b81fdfc7cd11f1863a005056b5e863</vt:lpstr>
      <vt:lpstr>СП_20271101_f8b81ffcc7cd11f1863a005056b5e863</vt:lpstr>
      <vt:lpstr>СП_20271101_f8b81ffdc7cd11f1863a005056b5e863</vt:lpstr>
      <vt:lpstr>СП_20271101_f8b82002c7cd11f1863a005056b5e863</vt:lpstr>
      <vt:lpstr>СП_20271101_f8b82007c7cd11f1863a005056b5e863</vt:lpstr>
      <vt:lpstr>СП_20271101_f92069c8c84711f083a1005056b5170a</vt:lpstr>
      <vt:lpstr>СП_20271101_f9883edd0bfd11f183c6005056b5170a</vt:lpstr>
      <vt:lpstr>СП_20271101_fc80b55ac7cc11f083a1005056b5170a</vt:lpstr>
      <vt:lpstr>СП_20271101_fdbd26b794dc11ee8376005056a1be4c</vt:lpstr>
      <vt:lpstr>СП_20271101_feb6a2a0c7cd11f1863a005056b5e863</vt:lpstr>
      <vt:lpstr>СП_20271101_feb6a2a7c7cd11f1863a005056b5e863</vt:lpstr>
      <vt:lpstr>СП_20271101_feb6a2afc7cd11f1863a005056b5e863</vt:lpstr>
      <vt:lpstr>СП_20271101_feb6a2e0c7cd11f1863a005056b5e863</vt:lpstr>
      <vt:lpstr>СП_20271101_feb6a30bc7cd11f1863a005056b5e863</vt:lpstr>
      <vt:lpstr>СП_20271101_feb6a310c7cd11f1863a005056b5e863</vt:lpstr>
      <vt:lpstr>СП_20271101_feb6a316c7cd11f1863a005056b5e863</vt:lpstr>
      <vt:lpstr>СП_20271101_feb6a31dc7cd11f1863a005056b5e863</vt:lpstr>
      <vt:lpstr>СП_20271101_feb6a325c7cd11f1863a005056b5e863</vt:lpstr>
      <vt:lpstr>СП_20271101_feb6a328c7cd11f1863a005056b5e863</vt:lpstr>
      <vt:lpstr>СП_20271101_feb6a32bc7cd11f1863a005056b5e863</vt:lpstr>
      <vt:lpstr>СП_20271101_feb6a332c7cd11f1863a005056b5e863</vt:lpstr>
      <vt:lpstr>СП_20271101_feb6a339c7cd11f1863a005056b5e863</vt:lpstr>
      <vt:lpstr>СП_20271101_feb6a33dc7cd11f1863a005056b5e863</vt:lpstr>
      <vt:lpstr>СП_20271101_ffc1afcac85811f083a1005056b5170a</vt:lpstr>
      <vt:lpstr>СП_20271201_018a9487c7b411f083a1005056b5170a</vt:lpstr>
      <vt:lpstr>СП_20271201_036681dbc84811f083a1005056b5170a</vt:lpstr>
      <vt:lpstr>СП_20271201_03e74c0fc7d911f083a1005056b5170a</vt:lpstr>
      <vt:lpstr>СП_20271201_05104b79c7a811f083a1005056b5170a</vt:lpstr>
      <vt:lpstr>СП_20271201_0bb19101c85911f083a1005056b5170a</vt:lpstr>
      <vt:lpstr>СП_20271201_0db71d62c84611f083a1005056b5170a</vt:lpstr>
      <vt:lpstr>СП_20271201_1421d8301d4811f183c7005056b5170a</vt:lpstr>
      <vt:lpstr>СП_20271201_163680a8c7d611f083a1005056b5170a</vt:lpstr>
      <vt:lpstr>СП_20271201_16fb1a53c7a811f083a1005056b5170a</vt:lpstr>
      <vt:lpstr>СП_20271201_184a45cfc7d711f083a1005056b5170a</vt:lpstr>
      <vt:lpstr>СП_20271201_196bb604c7b411f083a1005056b5170a</vt:lpstr>
      <vt:lpstr>СП_20271201_1a614068928811ee8376005056a1be4c</vt:lpstr>
      <vt:lpstr>СП_20271201_1a684706c84611f083a1005056b5170a</vt:lpstr>
      <vt:lpstr>СП_20271201_1daed84fc7b511f083a1005056b5170a</vt:lpstr>
      <vt:lpstr>СП_20271201_22a01918c7aa11f083a1005056b5170a</vt:lpstr>
      <vt:lpstr>СП_20271201_25fb3b91c7d611f083a1005056b5170a</vt:lpstr>
      <vt:lpstr>СП_20271201_271acd8d928811ee8376005056a1be4c</vt:lpstr>
      <vt:lpstr>СП_20271201_28c78a1ec7d711f083a1005056b5170a</vt:lpstr>
      <vt:lpstr>СП_20271201_2f74b944c7d811f083a1005056b5170a</vt:lpstr>
      <vt:lpstr>СП_20271201_31632d0cc7d611f083a1005056b5170a</vt:lpstr>
      <vt:lpstr>СП_20271201_33d4cd4f213211f183c7005056b5170a</vt:lpstr>
      <vt:lpstr>СП_20271201_34aab0c2990f11ef8384005056b5170a</vt:lpstr>
      <vt:lpstr>СП_20271201_355043d4c7d711f083a1005056b5170a</vt:lpstr>
      <vt:lpstr>СП_20271201_389f4057c7cb11f083a1005056b5170a</vt:lpstr>
      <vt:lpstr>СП_20271201_3a95d75e928a11ee8376005056a1be4c</vt:lpstr>
      <vt:lpstr>СП_20271201_3bd8087fc7d611f083a1005056b5170a</vt:lpstr>
      <vt:lpstr>СП_20271201_3c712981dfb011e982ef005056a1be4c</vt:lpstr>
      <vt:lpstr>СП_20271201_3f2ff9d6a5b011ef8384005056b5170a</vt:lpstr>
      <vt:lpstr>СП_20271201_445c2761c7b511f083a1005056b5170a</vt:lpstr>
      <vt:lpstr>СП_20271201_4613411b213211f183c7005056b5170a</vt:lpstr>
      <vt:lpstr>СП_20271201_46829e96c7d711f083a1005056b5170a</vt:lpstr>
      <vt:lpstr>СП_20271201_477830aa94da11ee8376005056a1be4c</vt:lpstr>
      <vt:lpstr>СП_20271201_483ec6637b9911f18638005056b5e863</vt:lpstr>
      <vt:lpstr>СП_20271201_49fa47b0c7d611f083a1005056b5170a</vt:lpstr>
      <vt:lpstr>СП_20271201_55eb4f8fc7d611f083a1005056b5170a</vt:lpstr>
      <vt:lpstr>СП_20271201_584645171d5511f183c7005056b5170a</vt:lpstr>
      <vt:lpstr>СП_20271201_5b33182ac7b611f083a1005056b5170a</vt:lpstr>
      <vt:lpstr>СП_20271201_5e534b9ac7aa11f083a1005056b5170a</vt:lpstr>
      <vt:lpstr>СП_20271201_6244c5e8c84711f083a1005056b5170a</vt:lpstr>
      <vt:lpstr>СП_20271201_6277513ac7b711f083a1005056b5170a</vt:lpstr>
      <vt:lpstr>СП_20271201_63f6fb3ae48911f083a6005056b5170a</vt:lpstr>
      <vt:lpstr>СП_20271201_6dcdcaa9c7d611f083a1005056b5170a</vt:lpstr>
      <vt:lpstr>СП_20271201_6ec5bd18c7aa11f083a1005056b5170a</vt:lpstr>
      <vt:lpstr>СП_20271201_74e570081d4811f183c7005056b5170a</vt:lpstr>
      <vt:lpstr>СП_20271201_77e5b212695b11f18638005056b5e863</vt:lpstr>
      <vt:lpstr>СП_20271201_7c5e7d4fc7aa11f083a1005056b5170a</vt:lpstr>
      <vt:lpstr>СП_20271201_806711dd1d5511f183c7005056b5170a</vt:lpstr>
      <vt:lpstr>СП_20271201_85aa1e2d1d4f11f183c7005056b5170a</vt:lpstr>
      <vt:lpstr>СП_20271201_8e478e15c7aa11f083a1005056b5170a</vt:lpstr>
      <vt:lpstr>СП_20271201_9205e61ac7a011f083a1005056b5170a</vt:lpstr>
      <vt:lpstr>СП_20271201_93e92e58c94711f083a3005056b5170a</vt:lpstr>
      <vt:lpstr>СП_20271201_953ba8c5695b11f18638005056b5e863</vt:lpstr>
      <vt:lpstr>СП_20271201_9de962cac84711f083a1005056b5170a</vt:lpstr>
      <vt:lpstr>СП_20271201_9e642f621d4f11f183c7005056b5170a</vt:lpstr>
      <vt:lpstr>СП_20271201_a477ec4f545211f183c8005056b5170a</vt:lpstr>
      <vt:lpstr>СП_20271201_aa40973a1d4a11f183c7005056b5170a</vt:lpstr>
      <vt:lpstr>СП_20271201_ab1ef3c9c7cc11f083a1005056b5170a</vt:lpstr>
      <vt:lpstr>СП_20271201_ab6bfd2cc7d811f083a1005056b5170a</vt:lpstr>
      <vt:lpstr>СП_20271201_b1def38f1d5511f183c7005056b5170a</vt:lpstr>
      <vt:lpstr>СП_20271201_b3b0d47f1d5011f183c7005056b5170a</vt:lpstr>
      <vt:lpstr>СП_20271201_b414fc5ac85811f083a1005056b5170a</vt:lpstr>
      <vt:lpstr>СП_20271201_b438366e4cd911e680db005056a1088b</vt:lpstr>
      <vt:lpstr>СП_20271201_b4431256c7a611f083a1005056b5170a</vt:lpstr>
      <vt:lpstr>СП_20271201_bc7a7d01c7d811f083a1005056b5170a</vt:lpstr>
      <vt:lpstr>СП_20271201_be8eb25fc7cc11f083a1005056b5170a</vt:lpstr>
      <vt:lpstr>СП_20271201_bf6525441d5111f183c7005056b5170a</vt:lpstr>
      <vt:lpstr>СП_20271201_c0422569c7d611f083a1005056b5170a</vt:lpstr>
      <vt:lpstr>СП_20271201_c4d393ccc85911f083a1005056b5170a</vt:lpstr>
      <vt:lpstr>СП_20271201_c64e660926bd11f183c7005056b5170a</vt:lpstr>
      <vt:lpstr>СП_20271201_c7add6cc6a4811e4805ad4ae526f013e</vt:lpstr>
      <vt:lpstr>СП_20271201_c7add6cd6a4811e4805ad4ae526f013e</vt:lpstr>
      <vt:lpstr>СП_20271201_c7add6d06a4811e4805ad4ae526f013e</vt:lpstr>
      <vt:lpstr>СП_20271201_c7add6d26a4811e4805ad4ae526f013e</vt:lpstr>
      <vt:lpstr>СП_20271201_c7add6d36a4811e4805ad4ae526f013e</vt:lpstr>
      <vt:lpstr>СП_20271201_c7add6d46a4811e4805ad4ae526f013e</vt:lpstr>
      <vt:lpstr>СП_20271201_c7add6d76a4811e4805ad4ae526f013e</vt:lpstr>
      <vt:lpstr>СП_20271201_c7add6ea6a4811e4805ad4ae526f013e</vt:lpstr>
      <vt:lpstr>СП_20271201_c7add6ed6a4811e4805ad4ae526f013e</vt:lpstr>
      <vt:lpstr>СП_20271201_c7add6f66a4811e4805ad4ae526f013e</vt:lpstr>
      <vt:lpstr>СП_20271201_c7add6f76a4811e4805ad4ae526f013e</vt:lpstr>
      <vt:lpstr>СП_20271201_c7add6ff6a4811e4805ad4ae526f013e</vt:lpstr>
      <vt:lpstr>СП_20271201_c7add7016a4811e4805ad4ae526f013e</vt:lpstr>
      <vt:lpstr>СП_20271201_c7add7026a4811e4805ad4ae526f013e</vt:lpstr>
      <vt:lpstr>СП_20271201_c7add7046a4811e4805ad4ae526f013e</vt:lpstr>
      <vt:lpstr>СП_20271201_c7add7056a4811e4805ad4ae526f013e</vt:lpstr>
      <vt:lpstr>СП_20271201_c7add7066a4811e4805ad4ae526f013e</vt:lpstr>
      <vt:lpstr>СП_20271201_c7add7076a4811e4805ad4ae526f013e</vt:lpstr>
      <vt:lpstr>СП_20271201_c7add7266a4811e4805ad4ae526f013e</vt:lpstr>
      <vt:lpstr>СП_20271201_cc91985fc7d811f083a1005056b5170a</vt:lpstr>
      <vt:lpstr>СП_20271201_ccbf0ec5c7cc11f083a1005056b5170a</vt:lpstr>
      <vt:lpstr>СП_20271201_ce12a12494db11ee8376005056a1be4c</vt:lpstr>
      <vt:lpstr>СП_20271201_d0ff26e8c84511f083a1005056b5170a</vt:lpstr>
      <vt:lpstr>СП_20271201_d1196183c7d611f083a1005056b5170a</vt:lpstr>
      <vt:lpstr>СП_20271201_d450ad9cc84311f083a1005056b5170a</vt:lpstr>
      <vt:lpstr>СП_20271201_d56e8e951d4911f183c7005056b5170a</vt:lpstr>
      <vt:lpstr>СП_20271201_d9a415b3c7d611f083a1005056b5170a</vt:lpstr>
      <vt:lpstr>СП_20271201_dc23c215c7d511f083a1005056b5170a</vt:lpstr>
      <vt:lpstr>СП_20271201_de2933d4c85911f083a1005056b5170a</vt:lpstr>
      <vt:lpstr>СП_20271201_e0d93d37c7cc11f083a1005056b5170a</vt:lpstr>
      <vt:lpstr>СП_20271201_e21f8f63c7d711f083a1005056b5170a</vt:lpstr>
      <vt:lpstr>СП_20271201_e47771ec94dc11ee8376005056a1be4c</vt:lpstr>
      <vt:lpstr>СП_20271201_e5e5c84ec7d811f083a1005056b5170a</vt:lpstr>
      <vt:lpstr>СП_20271201_e7dd9c1c94db11ee8376005056a1be4c</vt:lpstr>
      <vt:lpstr>СП_20271201_eaf11e23c85911f083a1005056b5170a</vt:lpstr>
      <vt:lpstr>СП_20271201_ec74db8b1d5011f183c7005056b5170a</vt:lpstr>
      <vt:lpstr>СП_20271201_eda9216ec7cc11f083a1005056b5170a</vt:lpstr>
      <vt:lpstr>СП_20271201_f15872d1c7d811f083a1005056b5170a</vt:lpstr>
      <vt:lpstr>СП_20271201_f3278a99c7a711f083a1005056b5170a</vt:lpstr>
      <vt:lpstr>СП_20271201_f38ae66bc7d711f083a1005056b5170a</vt:lpstr>
      <vt:lpstr>СП_20271201_f3d09913c85811f083a1005056b5170a</vt:lpstr>
      <vt:lpstr>СП_20271201_f3f3b17d1d4911f183c7005056b5170a</vt:lpstr>
      <vt:lpstr>СП_20271201_f6bf7d1ec7b411f083a1005056b5170a</vt:lpstr>
      <vt:lpstr>СП_20271201_f8b81fd3c7cd11f1863a005056b5e863</vt:lpstr>
      <vt:lpstr>СП_20271201_f8b81fd4c7cd11f1863a005056b5e863</vt:lpstr>
      <vt:lpstr>СП_20271201_f8b81fd7c7cd11f1863a005056b5e863</vt:lpstr>
      <vt:lpstr>СП_20271201_f8b81fdfc7cd11f1863a005056b5e863</vt:lpstr>
      <vt:lpstr>СП_20271201_f8b81ffcc7cd11f1863a005056b5e863</vt:lpstr>
      <vt:lpstr>СП_20271201_f8b81ffdc7cd11f1863a005056b5e863</vt:lpstr>
      <vt:lpstr>СП_20271201_f8b82002c7cd11f1863a005056b5e863</vt:lpstr>
      <vt:lpstr>СП_20271201_f8b82007c7cd11f1863a005056b5e863</vt:lpstr>
      <vt:lpstr>СП_20271201_f92069c8c84711f083a1005056b5170a</vt:lpstr>
      <vt:lpstr>СП_20271201_f9883edd0bfd11f183c6005056b5170a</vt:lpstr>
      <vt:lpstr>СП_20271201_fc80b55ac7cc11f083a1005056b5170a</vt:lpstr>
      <vt:lpstr>СП_20271201_fdbd26b794dc11ee8376005056a1be4c</vt:lpstr>
      <vt:lpstr>СП_20271201_feb6a2a0c7cd11f1863a005056b5e863</vt:lpstr>
      <vt:lpstr>СП_20271201_feb6a2a7c7cd11f1863a005056b5e863</vt:lpstr>
      <vt:lpstr>СП_20271201_feb6a2afc7cd11f1863a005056b5e863</vt:lpstr>
      <vt:lpstr>СП_20271201_feb6a2e0c7cd11f1863a005056b5e863</vt:lpstr>
      <vt:lpstr>СП_20271201_feb6a30bc7cd11f1863a005056b5e863</vt:lpstr>
      <vt:lpstr>СП_20271201_feb6a310c7cd11f1863a005056b5e863</vt:lpstr>
      <vt:lpstr>СП_20271201_feb6a316c7cd11f1863a005056b5e863</vt:lpstr>
      <vt:lpstr>СП_20271201_feb6a31dc7cd11f1863a005056b5e863</vt:lpstr>
      <vt:lpstr>СП_20271201_feb6a325c7cd11f1863a005056b5e863</vt:lpstr>
      <vt:lpstr>СП_20271201_feb6a328c7cd11f1863a005056b5e863</vt:lpstr>
      <vt:lpstr>СП_20271201_feb6a32bc7cd11f1863a005056b5e863</vt:lpstr>
      <vt:lpstr>СП_20271201_feb6a332c7cd11f1863a005056b5e863</vt:lpstr>
      <vt:lpstr>СП_20271201_feb6a339c7cd11f1863a005056b5e863</vt:lpstr>
      <vt:lpstr>СП_20271201_feb6a33dc7cd11f1863a005056b5e863</vt:lpstr>
      <vt:lpstr>СП_20271201_ffc1afcac85811f083a1005056b5170a</vt:lpstr>
      <vt:lpstr>СП_Итог_018a9487c7b411f083a1005056b5170a</vt:lpstr>
      <vt:lpstr>СП_Итог_036681dbc84811f083a1005056b5170a</vt:lpstr>
      <vt:lpstr>СП_Итог_03e74c0fc7d911f083a1005056b5170a</vt:lpstr>
      <vt:lpstr>СП_Итог_05104b79c7a811f083a1005056b5170a</vt:lpstr>
      <vt:lpstr>СП_Итог_0bb19101c85911f083a1005056b5170a</vt:lpstr>
      <vt:lpstr>СП_Итог_0db71d62c84611f083a1005056b5170a</vt:lpstr>
      <vt:lpstr>СП_Итог_1421d8301d4811f183c7005056b5170a</vt:lpstr>
      <vt:lpstr>СП_Итог_163680a8c7d611f083a1005056b5170a</vt:lpstr>
      <vt:lpstr>СП_Итог_16fb1a53c7a811f083a1005056b5170a</vt:lpstr>
      <vt:lpstr>СП_Итог_184a45cfc7d711f083a1005056b5170a</vt:lpstr>
      <vt:lpstr>СП_Итог_196bb604c7b411f083a1005056b5170a</vt:lpstr>
      <vt:lpstr>СП_Итог_1a614068928811ee8376005056a1be4c</vt:lpstr>
      <vt:lpstr>СП_Итог_1a684706c84611f083a1005056b5170a</vt:lpstr>
      <vt:lpstr>СП_Итог_1daed84fc7b511f083a1005056b5170a</vt:lpstr>
      <vt:lpstr>СП_Итог_22a01918c7aa11f083a1005056b5170a</vt:lpstr>
      <vt:lpstr>СП_Итог_25fb3b91c7d611f083a1005056b5170a</vt:lpstr>
      <vt:lpstr>СП_Итог_271acd8d928811ee8376005056a1be4c</vt:lpstr>
      <vt:lpstr>СП_Итог_28c78a1ec7d711f083a1005056b5170a</vt:lpstr>
      <vt:lpstr>СП_Итог_2f74b944c7d811f083a1005056b5170a</vt:lpstr>
      <vt:lpstr>СП_Итог_31632d0cc7d611f083a1005056b5170a</vt:lpstr>
      <vt:lpstr>СП_Итог_33d4cd4f213211f183c7005056b5170a</vt:lpstr>
      <vt:lpstr>СП_Итог_34aab0c2990f11ef8384005056b5170a</vt:lpstr>
      <vt:lpstr>СП_Итог_355043d4c7d711f083a1005056b5170a</vt:lpstr>
      <vt:lpstr>СП_Итог_389f4057c7cb11f083a1005056b5170a</vt:lpstr>
      <vt:lpstr>СП_Итог_3a95d75e928a11ee8376005056a1be4c</vt:lpstr>
      <vt:lpstr>СП_Итог_3bd8087fc7d611f083a1005056b5170a</vt:lpstr>
      <vt:lpstr>СП_Итог_3c712981dfb011e982ef005056a1be4c</vt:lpstr>
      <vt:lpstr>СП_Итог_3f2ff9d6a5b011ef8384005056b5170a</vt:lpstr>
      <vt:lpstr>СП_Итог_445c2761c7b511f083a1005056b5170a</vt:lpstr>
      <vt:lpstr>СП_Итог_4613411b213211f183c7005056b5170a</vt:lpstr>
      <vt:lpstr>СП_Итог_46829e96c7d711f083a1005056b5170a</vt:lpstr>
      <vt:lpstr>СП_Итог_477830aa94da11ee8376005056a1be4c</vt:lpstr>
      <vt:lpstr>СП_Итог_483ec6637b9911f18638005056b5e863</vt:lpstr>
      <vt:lpstr>СП_Итог_49fa47b0c7d611f083a1005056b5170a</vt:lpstr>
      <vt:lpstr>СП_Итог_55eb4f8fc7d611f083a1005056b5170a</vt:lpstr>
      <vt:lpstr>СП_Итог_584645171d5511f183c7005056b5170a</vt:lpstr>
      <vt:lpstr>СП_Итог_5b33182ac7b611f083a1005056b5170a</vt:lpstr>
      <vt:lpstr>СП_Итог_5e534b9ac7aa11f083a1005056b5170a</vt:lpstr>
      <vt:lpstr>СП_Итог_6244c5e8c84711f083a1005056b5170a</vt:lpstr>
      <vt:lpstr>СП_Итог_6277513ac7b711f083a1005056b5170a</vt:lpstr>
      <vt:lpstr>СП_Итог_63f6fb3ae48911f083a6005056b5170a</vt:lpstr>
      <vt:lpstr>СП_Итог_6dcdcaa9c7d611f083a1005056b5170a</vt:lpstr>
      <vt:lpstr>СП_Итог_6ec5bd18c7aa11f083a1005056b5170a</vt:lpstr>
      <vt:lpstr>СП_Итог_74e570081d4811f183c7005056b5170a</vt:lpstr>
      <vt:lpstr>СП_Итог_77e5b212695b11f18638005056b5e863</vt:lpstr>
      <vt:lpstr>СП_Итог_7c5e7d4fc7aa11f083a1005056b5170a</vt:lpstr>
      <vt:lpstr>СП_Итог_806711dd1d5511f183c7005056b5170a</vt:lpstr>
      <vt:lpstr>СП_Итог_85aa1e2d1d4f11f183c7005056b5170a</vt:lpstr>
      <vt:lpstr>СП_Итог_8e478e15c7aa11f083a1005056b5170a</vt:lpstr>
      <vt:lpstr>СП_Итог_9205e61ac7a011f083a1005056b5170a</vt:lpstr>
      <vt:lpstr>СП_Итог_93e92e58c94711f083a3005056b5170a</vt:lpstr>
      <vt:lpstr>СП_Итог_953ba8c5695b11f18638005056b5e863</vt:lpstr>
      <vt:lpstr>СП_Итог_9de962cac84711f083a1005056b5170a</vt:lpstr>
      <vt:lpstr>СП_Итог_9e642f621d4f11f183c7005056b5170a</vt:lpstr>
      <vt:lpstr>СП_Итог_a477ec4f545211f183c8005056b5170a</vt:lpstr>
      <vt:lpstr>СП_Итог_aa40973a1d4a11f183c7005056b5170a</vt:lpstr>
      <vt:lpstr>СП_Итог_ab1ef3c9c7cc11f083a1005056b5170a</vt:lpstr>
      <vt:lpstr>СП_Итог_ab6bfd2cc7d811f083a1005056b5170a</vt:lpstr>
      <vt:lpstr>СП_Итог_b1def38f1d5511f183c7005056b5170a</vt:lpstr>
      <vt:lpstr>СП_Итог_b3b0d47f1d5011f183c7005056b5170a</vt:lpstr>
      <vt:lpstr>СП_Итог_b414fc5ac85811f083a1005056b5170a</vt:lpstr>
      <vt:lpstr>СП_Итог_b438366e4cd911e680db005056a1088b</vt:lpstr>
      <vt:lpstr>СП_Итог_b4431256c7a611f083a1005056b5170a</vt:lpstr>
      <vt:lpstr>СП_Итог_bc7a7d01c7d811f083a1005056b5170a</vt:lpstr>
      <vt:lpstr>СП_Итог_be8eb25fc7cc11f083a1005056b5170a</vt:lpstr>
      <vt:lpstr>СП_Итог_bf6525441d5111f183c7005056b5170a</vt:lpstr>
      <vt:lpstr>СП_Итог_c0422569c7d611f083a1005056b5170a</vt:lpstr>
      <vt:lpstr>СП_Итог_c4d393ccc85911f083a1005056b5170a</vt:lpstr>
      <vt:lpstr>СП_Итог_c64e660926bd11f183c7005056b5170a</vt:lpstr>
      <vt:lpstr>СП_Итог_c7add6cc6a4811e4805ad4ae526f013e</vt:lpstr>
      <vt:lpstr>СП_Итог_c7add6cd6a4811e4805ad4ae526f013e</vt:lpstr>
      <vt:lpstr>СП_Итог_c7add6d06a4811e4805ad4ae526f013e</vt:lpstr>
      <vt:lpstr>СП_Итог_c7add6d26a4811e4805ad4ae526f013e</vt:lpstr>
      <vt:lpstr>СП_Итог_c7add6d36a4811e4805ad4ae526f013e</vt:lpstr>
      <vt:lpstr>СП_Итог_c7add6d46a4811e4805ad4ae526f013e</vt:lpstr>
      <vt:lpstr>СП_Итог_c7add6d76a4811e4805ad4ae526f013e</vt:lpstr>
      <vt:lpstr>СП_Итог_c7add6ea6a4811e4805ad4ae526f013e</vt:lpstr>
      <vt:lpstr>СП_Итог_c7add6ed6a4811e4805ad4ae526f013e</vt:lpstr>
      <vt:lpstr>СП_Итог_c7add6f66a4811e4805ad4ae526f013e</vt:lpstr>
      <vt:lpstr>СП_Итог_c7add6f76a4811e4805ad4ae526f013e</vt:lpstr>
      <vt:lpstr>СП_Итог_c7add6ff6a4811e4805ad4ae526f013e</vt:lpstr>
      <vt:lpstr>СП_Итог_c7add7016a4811e4805ad4ae526f013e</vt:lpstr>
      <vt:lpstr>СП_Итог_c7add7026a4811e4805ad4ae526f013e</vt:lpstr>
      <vt:lpstr>СП_Итог_c7add7046a4811e4805ad4ae526f013e</vt:lpstr>
      <vt:lpstr>СП_Итог_c7add7056a4811e4805ad4ae526f013e</vt:lpstr>
      <vt:lpstr>СП_Итог_c7add7066a4811e4805ad4ae526f013e</vt:lpstr>
      <vt:lpstr>СП_Итог_c7add7076a4811e4805ad4ae526f013e</vt:lpstr>
      <vt:lpstr>СП_Итог_c7add7266a4811e4805ad4ae526f013e</vt:lpstr>
      <vt:lpstr>СП_Итог_cc91985fc7d811f083a1005056b5170a</vt:lpstr>
      <vt:lpstr>СП_Итог_ccbf0ec5c7cc11f083a1005056b5170a</vt:lpstr>
      <vt:lpstr>СП_Итог_ce12a12494db11ee8376005056a1be4c</vt:lpstr>
      <vt:lpstr>СП_Итог_d0ff26e8c84511f083a1005056b5170a</vt:lpstr>
      <vt:lpstr>СП_Итог_d1196183c7d611f083a1005056b5170a</vt:lpstr>
      <vt:lpstr>СП_Итог_d450ad9cc84311f083a1005056b5170a</vt:lpstr>
      <vt:lpstr>СП_Итог_d56e8e951d4911f183c7005056b5170a</vt:lpstr>
      <vt:lpstr>СП_Итог_d9a415b3c7d611f083a1005056b5170a</vt:lpstr>
      <vt:lpstr>СП_Итог_dc23c215c7d511f083a1005056b5170a</vt:lpstr>
      <vt:lpstr>СП_Итог_de2933d4c85911f083a1005056b5170a</vt:lpstr>
      <vt:lpstr>СП_Итог_e0d93d37c7cc11f083a1005056b5170a</vt:lpstr>
      <vt:lpstr>СП_Итог_e21f8f63c7d711f083a1005056b5170a</vt:lpstr>
      <vt:lpstr>СП_Итог_e47771ec94dc11ee8376005056a1be4c</vt:lpstr>
      <vt:lpstr>СП_Итог_e5e5c84ec7d811f083a1005056b5170a</vt:lpstr>
      <vt:lpstr>СП_Итог_e7dd9c1c94db11ee8376005056a1be4c</vt:lpstr>
      <vt:lpstr>СП_Итог_eaf11e23c85911f083a1005056b5170a</vt:lpstr>
      <vt:lpstr>СП_Итог_ec74db8b1d5011f183c7005056b5170a</vt:lpstr>
      <vt:lpstr>СП_Итог_eda9216ec7cc11f083a1005056b5170a</vt:lpstr>
      <vt:lpstr>СП_Итог_f15872d1c7d811f083a1005056b5170a</vt:lpstr>
      <vt:lpstr>СП_Итог_f3278a99c7a711f083a1005056b5170a</vt:lpstr>
      <vt:lpstr>СП_Итог_f38ae66bc7d711f083a1005056b5170a</vt:lpstr>
      <vt:lpstr>СП_Итог_f3d09913c85811f083a1005056b5170a</vt:lpstr>
      <vt:lpstr>СП_Итог_f3f3b17d1d4911f183c7005056b5170a</vt:lpstr>
      <vt:lpstr>СП_Итог_f6bf7d1ec7b411f083a1005056b5170a</vt:lpstr>
      <vt:lpstr>СП_Итог_f8b81fd3c7cd11f1863a005056b5e863</vt:lpstr>
      <vt:lpstr>СП_Итог_f8b81fd4c7cd11f1863a005056b5e863</vt:lpstr>
      <vt:lpstr>СП_Итог_f8b81fd7c7cd11f1863a005056b5e863</vt:lpstr>
      <vt:lpstr>СП_Итог_f8b81fdfc7cd11f1863a005056b5e863</vt:lpstr>
      <vt:lpstr>СП_Итог_f8b81ffcc7cd11f1863a005056b5e863</vt:lpstr>
      <vt:lpstr>СП_Итог_f8b81ffdc7cd11f1863a005056b5e863</vt:lpstr>
      <vt:lpstr>СП_Итог_f8b82002c7cd11f1863a005056b5e863</vt:lpstr>
      <vt:lpstr>СП_Итог_f8b82007c7cd11f1863a005056b5e863</vt:lpstr>
      <vt:lpstr>СП_Итог_f92069c8c84711f083a1005056b5170a</vt:lpstr>
      <vt:lpstr>СП_Итог_f9883edd0bfd11f183c6005056b5170a</vt:lpstr>
      <vt:lpstr>СП_Итог_fc80b55ac7cc11f083a1005056b5170a</vt:lpstr>
      <vt:lpstr>СП_Итог_fdbd26b794dc11ee8376005056a1be4c</vt:lpstr>
      <vt:lpstr>СП_Итог_feb6a2a0c7cd11f1863a005056b5e863</vt:lpstr>
      <vt:lpstr>СП_Итог_feb6a2a7c7cd11f1863a005056b5e863</vt:lpstr>
      <vt:lpstr>СП_Итог_feb6a2afc7cd11f1863a005056b5e863</vt:lpstr>
      <vt:lpstr>СП_Итог_feb6a2e0c7cd11f1863a005056b5e863</vt:lpstr>
      <vt:lpstr>СП_Итог_feb6a30bc7cd11f1863a005056b5e863</vt:lpstr>
      <vt:lpstr>СП_Итог_feb6a310c7cd11f1863a005056b5e863</vt:lpstr>
      <vt:lpstr>СП_Итог_feb6a316c7cd11f1863a005056b5e863</vt:lpstr>
      <vt:lpstr>СП_Итог_feb6a31dc7cd11f1863a005056b5e863</vt:lpstr>
      <vt:lpstr>СП_Итог_feb6a325c7cd11f1863a005056b5e863</vt:lpstr>
      <vt:lpstr>СП_Итог_feb6a328c7cd11f1863a005056b5e863</vt:lpstr>
      <vt:lpstr>СП_Итог_feb6a32bc7cd11f1863a005056b5e863</vt:lpstr>
      <vt:lpstr>СП_Итог_feb6a332c7cd11f1863a005056b5e863</vt:lpstr>
      <vt:lpstr>СП_Итог_feb6a339c7cd11f1863a005056b5e863</vt:lpstr>
      <vt:lpstr>СП_Итог_feb6a33dc7cd11f1863a005056b5e863</vt:lpstr>
      <vt:lpstr>СП_Итог_ffc1afcac85811f083a1005056b5170a</vt:lpstr>
      <vt:lpstr>СтатьяОборотов_1</vt:lpstr>
      <vt:lpstr>СтатьяОборотов_10</vt:lpstr>
      <vt:lpstr>СтатьяОборотов_100</vt:lpstr>
      <vt:lpstr>СтатьяОборотов_101</vt:lpstr>
      <vt:lpstr>СтатьяОборотов_102</vt:lpstr>
      <vt:lpstr>СтатьяОборотов_103</vt:lpstr>
      <vt:lpstr>СтатьяОборотов_104</vt:lpstr>
      <vt:lpstr>СтатьяОборотов_105</vt:lpstr>
      <vt:lpstr>СтатьяОборотов_106</vt:lpstr>
      <vt:lpstr>СтатьяОборотов_107</vt:lpstr>
      <vt:lpstr>СтатьяОборотов_108</vt:lpstr>
      <vt:lpstr>СтатьяОборотов_109</vt:lpstr>
      <vt:lpstr>СтатьяОборотов_11</vt:lpstr>
      <vt:lpstr>СтатьяОборотов_110</vt:lpstr>
      <vt:lpstr>СтатьяОборотов_111</vt:lpstr>
      <vt:lpstr>СтатьяОборотов_112</vt:lpstr>
      <vt:lpstr>СтатьяОборотов_113</vt:lpstr>
      <vt:lpstr>СтатьяОборотов_114</vt:lpstr>
      <vt:lpstr>СтатьяОборотов_115</vt:lpstr>
      <vt:lpstr>СтатьяОборотов_116</vt:lpstr>
      <vt:lpstr>СтатьяОборотов_117</vt:lpstr>
      <vt:lpstr>СтатьяОборотов_118</vt:lpstr>
      <vt:lpstr>СтатьяОборотов_119</vt:lpstr>
      <vt:lpstr>СтатьяОборотов_12</vt:lpstr>
      <vt:lpstr>СтатьяОборотов_120</vt:lpstr>
      <vt:lpstr>СтатьяОборотов_121</vt:lpstr>
      <vt:lpstr>СтатьяОборотов_122</vt:lpstr>
      <vt:lpstr>СтатьяОборотов_123</vt:lpstr>
      <vt:lpstr>СтатьяОборотов_124</vt:lpstr>
      <vt:lpstr>СтатьяОборотов_125</vt:lpstr>
      <vt:lpstr>СтатьяОборотов_126</vt:lpstr>
      <vt:lpstr>СтатьяОборотов_127</vt:lpstr>
      <vt:lpstr>СтатьяОборотов_128</vt:lpstr>
      <vt:lpstr>СтатьяОборотов_129</vt:lpstr>
      <vt:lpstr>СтатьяОборотов_13</vt:lpstr>
      <vt:lpstr>СтатьяОборотов_130</vt:lpstr>
      <vt:lpstr>СтатьяОборотов_131</vt:lpstr>
      <vt:lpstr>СтатьяОборотов_132</vt:lpstr>
      <vt:lpstr>СтатьяОборотов_133</vt:lpstr>
      <vt:lpstr>СтатьяОборотов_134</vt:lpstr>
      <vt:lpstr>СтатьяОборотов_135</vt:lpstr>
      <vt:lpstr>СтатьяОборотов_136</vt:lpstr>
      <vt:lpstr>СтатьяОборотов_137</vt:lpstr>
      <vt:lpstr>СтатьяОборотов_138</vt:lpstr>
      <vt:lpstr>СтатьяОборотов_139</vt:lpstr>
      <vt:lpstr>СтатьяОборотов_14</vt:lpstr>
      <vt:lpstr>СтатьяОборотов_15</vt:lpstr>
      <vt:lpstr>СтатьяОборотов_16</vt:lpstr>
      <vt:lpstr>СтатьяОборотов_17</vt:lpstr>
      <vt:lpstr>СтатьяОборотов_18</vt:lpstr>
      <vt:lpstr>СтатьяОборотов_19</vt:lpstr>
      <vt:lpstr>СтатьяОборотов_2</vt:lpstr>
      <vt:lpstr>СтатьяОборотов_20</vt:lpstr>
      <vt:lpstr>СтатьяОборотов_21</vt:lpstr>
      <vt:lpstr>СтатьяОборотов_22</vt:lpstr>
      <vt:lpstr>СтатьяОборотов_23</vt:lpstr>
      <vt:lpstr>СтатьяОборотов_24</vt:lpstr>
      <vt:lpstr>СтатьяОборотов_25</vt:lpstr>
      <vt:lpstr>СтатьяОборотов_26</vt:lpstr>
      <vt:lpstr>СтатьяОборотов_27</vt:lpstr>
      <vt:lpstr>СтатьяОборотов_28</vt:lpstr>
      <vt:lpstr>СтатьяОборотов_29</vt:lpstr>
      <vt:lpstr>СтатьяОборотов_3</vt:lpstr>
      <vt:lpstr>СтатьяОборотов_30</vt:lpstr>
      <vt:lpstr>СтатьяОборотов_31</vt:lpstr>
      <vt:lpstr>СтатьяОборотов_32</vt:lpstr>
      <vt:lpstr>СтатьяОборотов_33</vt:lpstr>
      <vt:lpstr>СтатьяОборотов_34</vt:lpstr>
      <vt:lpstr>СтатьяОборотов_35</vt:lpstr>
      <vt:lpstr>СтатьяОборотов_36</vt:lpstr>
      <vt:lpstr>СтатьяОборотов_37</vt:lpstr>
      <vt:lpstr>СтатьяОборотов_38</vt:lpstr>
      <vt:lpstr>СтатьяОборотов_39</vt:lpstr>
      <vt:lpstr>СтатьяОборотов_4</vt:lpstr>
      <vt:lpstr>СтатьяОборотов_40</vt:lpstr>
      <vt:lpstr>СтатьяОборотов_41</vt:lpstr>
      <vt:lpstr>СтатьяОборотов_42</vt:lpstr>
      <vt:lpstr>СтатьяОборотов_43</vt:lpstr>
      <vt:lpstr>СтатьяОборотов_44</vt:lpstr>
      <vt:lpstr>СтатьяОборотов_45</vt:lpstr>
      <vt:lpstr>СтатьяОборотов_46</vt:lpstr>
      <vt:lpstr>СтатьяОборотов_47</vt:lpstr>
      <vt:lpstr>СтатьяОборотов_48</vt:lpstr>
      <vt:lpstr>СтатьяОборотов_49</vt:lpstr>
      <vt:lpstr>СтатьяОборотов_5</vt:lpstr>
      <vt:lpstr>СтатьяОборотов_50</vt:lpstr>
      <vt:lpstr>СтатьяОборотов_51</vt:lpstr>
      <vt:lpstr>СтатьяОборотов_52</vt:lpstr>
      <vt:lpstr>СтатьяОборотов_53</vt:lpstr>
      <vt:lpstr>СтатьяОборотов_54</vt:lpstr>
      <vt:lpstr>СтатьяОборотов_55</vt:lpstr>
      <vt:lpstr>СтатьяОборотов_56</vt:lpstr>
      <vt:lpstr>СтатьяОборотов_57</vt:lpstr>
      <vt:lpstr>СтатьяОборотов_58</vt:lpstr>
      <vt:lpstr>СтатьяОборотов_59</vt:lpstr>
      <vt:lpstr>СтатьяОборотов_6</vt:lpstr>
      <vt:lpstr>СтатьяОборотов_60</vt:lpstr>
      <vt:lpstr>СтатьяОборотов_61</vt:lpstr>
      <vt:lpstr>СтатьяОборотов_62</vt:lpstr>
      <vt:lpstr>СтатьяОборотов_63</vt:lpstr>
      <vt:lpstr>СтатьяОборотов_64</vt:lpstr>
      <vt:lpstr>СтатьяОборотов_65</vt:lpstr>
      <vt:lpstr>СтатьяОборотов_66</vt:lpstr>
      <vt:lpstr>СтатьяОборотов_67</vt:lpstr>
      <vt:lpstr>СтатьяОборотов_68</vt:lpstr>
      <vt:lpstr>СтатьяОборотов_69</vt:lpstr>
      <vt:lpstr>СтатьяОборотов_7</vt:lpstr>
      <vt:lpstr>СтатьяОборотов_70</vt:lpstr>
      <vt:lpstr>СтатьяОборотов_71</vt:lpstr>
      <vt:lpstr>СтатьяОборотов_72</vt:lpstr>
      <vt:lpstr>СтатьяОборотов_73</vt:lpstr>
      <vt:lpstr>СтатьяОборотов_74</vt:lpstr>
      <vt:lpstr>СтатьяОборотов_75</vt:lpstr>
      <vt:lpstr>СтатьяОборотов_76</vt:lpstr>
      <vt:lpstr>СтатьяОборотов_77</vt:lpstr>
      <vt:lpstr>СтатьяОборотов_78</vt:lpstr>
      <vt:lpstr>СтатьяОборотов_79</vt:lpstr>
      <vt:lpstr>СтатьяОборотов_8</vt:lpstr>
      <vt:lpstr>СтатьяОборотов_80</vt:lpstr>
      <vt:lpstr>СтатьяОборотов_81</vt:lpstr>
      <vt:lpstr>СтатьяОборотов_82</vt:lpstr>
      <vt:lpstr>СтатьяОборотов_83</vt:lpstr>
      <vt:lpstr>СтатьяОборотов_84</vt:lpstr>
      <vt:lpstr>СтатьяОборотов_85</vt:lpstr>
      <vt:lpstr>СтатьяОборотов_86</vt:lpstr>
      <vt:lpstr>СтатьяОборотов_87</vt:lpstr>
      <vt:lpstr>СтатьяОборотов_88</vt:lpstr>
      <vt:lpstr>СтатьяОборотов_89</vt:lpstr>
      <vt:lpstr>СтатьяОборотов_9</vt:lpstr>
      <vt:lpstr>СтатьяОборотов_90</vt:lpstr>
      <vt:lpstr>СтатьяОборотов_91</vt:lpstr>
      <vt:lpstr>СтатьяОборотов_92</vt:lpstr>
      <vt:lpstr>СтатьяОборотов_93</vt:lpstr>
      <vt:lpstr>СтатьяОборотов_94</vt:lpstr>
      <vt:lpstr>СтатьяОборотов_95</vt:lpstr>
      <vt:lpstr>СтатьяОборотов_96</vt:lpstr>
      <vt:lpstr>СтатьяОборотов_97</vt:lpstr>
      <vt:lpstr>СтатьяОборотов_98</vt:lpstr>
      <vt:lpstr>СтатьяОборотов_99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Муллер Андрей</dc:creator>
  <cp:lastModifiedBy>Муллер Андрей</cp:lastModifiedBy>
  <dcterms:created xsi:type="dcterms:W3CDTF">2026-10-14T14:00:19Z</dcterms:created>
  <dcterms:modified xsi:type="dcterms:W3CDTF">2026-10-14T14:03:25Z</dcterms:modified>
</cp:coreProperties>
</file>